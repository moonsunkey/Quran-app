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⚙ Settings" sheetId="2" state="visible" r:id="rId4"/>
    <sheet name="💰 Income Log" sheetId="3" state="visible" r:id="rId5"/>
    <sheet name="💸 Expenses" sheetId="4" state="visible" r:id="rId6"/>
    <sheet name="🚗 Mileage &amp; Home Office" sheetId="5" state="visible" r:id="rId7"/>
    <sheet name="🧾 Invoices" sheetId="6" state="visible" r:id="rId8"/>
    <sheet name="🧮 Tax Tracker" sheetId="7" state="visible" r:id="rId9"/>
    <sheet name="👥 Client Report" sheetId="8" state="visible" r:id="rId10"/>
    <sheet name="💡 Rate Calculator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<sst xmlns="http://schemas.openxmlformats.org/spreadsheetml/2006/main" count="414" uniqueCount="323">
  <si>
    <t xml:space="preserve">📊  FREELANCER FINANCE DASHBOARD</t>
  </si>
  <si>
    <t xml:space="preserve">  YOUR MONEY AT A GLANCE</t>
  </si>
  <si>
    <t xml:space="preserve">TOTAL EARNED</t>
  </si>
  <si>
    <t xml:space="preserve">SET ASIDE FOR TAX</t>
  </si>
  <si>
    <t xml:space="preserve">YOURS TO KEEP</t>
  </si>
  <si>
    <t xml:space="preserve">TOTAL EXPENSES</t>
  </si>
  <si>
    <t xml:space="preserve">PROFIT MARGIN</t>
  </si>
  <si>
    <t xml:space="preserve">INVOICES OVERDUE</t>
  </si>
  <si>
    <t xml:space="preserve">OUTSTANDING A/R</t>
  </si>
  <si>
    <t xml:space="preserve">MONTHLY GOAL</t>
  </si>
  <si>
    <t xml:space="preserve">THIS MONTH INCOME</t>
  </si>
  <si>
    <t xml:space="preserve">EST. TAX DUE</t>
  </si>
  <si>
    <t xml:space="preserve">SAFE TO PAY SELF</t>
  </si>
  <si>
    <t xml:space="preserve">  MONTHLY BREAKDOWN</t>
  </si>
  <si>
    <t xml:space="preserve">Month</t>
  </si>
  <si>
    <t xml:space="preserve">Income</t>
  </si>
  <si>
    <t xml:space="preserve">Expenses</t>
  </si>
  <si>
    <t xml:space="preserve">Net Profit</t>
  </si>
  <si>
    <t xml:space="preserve">Margin</t>
  </si>
  <si>
    <t xml:space="preserve">Running Net</t>
  </si>
  <si>
    <t xml:space="preserve">vs Goal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</si>
  <si>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</si>
  <si>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</si>
  <si>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</si>
  <si>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</si>
  <si>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</si>
  <si>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</si>
  <si>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</si>
  <si>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</si>
  <si>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</si>
  <si>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</si>
  <si>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</si>
  <si>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</si>
  <si>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ANNUAL TOTAL</t>
  </si>
  <si>
    <t xml:space="preserve">  📋  NAVIGATION GUIDE</t>
  </si>
  <si>
    <t xml:space="preserve">  ⚙ Settings</t>
  </si>
  <si>
    <t xml:space="preserve">Start here. Set your tax rates, goals, and business info.</t>
  </si>
  <si>
    <t xml:space="preserve">  💰 Income Log</t>
  </si>
  <si>
    <t xml:space="preserve">Log every payment. Tax set-aside auto-fills col G.</t>
  </si>
  <si>
    <t xml:space="preserve">  💸 Expenses</t>
  </si>
  <si>
    <t xml:space="preserve">Track expenses. Mark deductible items to reduce taxes.</t>
  </si>
  <si>
    <t xml:space="preserve">  🚗 Mileage &amp; Home Office</t>
  </si>
  <si>
    <t xml:space="preserve">Log business miles + home office for hidden deductions.</t>
  </si>
  <si>
    <t xml:space="preserve">  🧾 Invoices</t>
  </si>
  <si>
    <t xml:space="preserve">Track all invoices. See aging buckets to chase late payments.</t>
  </si>
  <si>
    <t xml:space="preserve">  🧮 Tax Tracker</t>
  </si>
  <si>
    <t xml:space="preserve">See what you owe. Enter quarterly payments made.</t>
  </si>
  <si>
    <t xml:space="preserve">  👥 Client Report</t>
  </si>
  <si>
    <t xml:space="preserve">See which clients generate the most revenue + 1099 alerts.</t>
  </si>
  <si>
    <t xml:space="preserve">  💡 Rate Calculator</t>
  </si>
  <si>
    <t xml:space="preserve">Calculate your minimum hourly/project rate to hit your goals.</t>
  </si>
  <si>
    <t xml:space="preserve">⚙  SETTINGS — Fill Yellow Cells First</t>
  </si>
  <si>
    <t xml:space="preserve">These values power every formula in the workbook.</t>
  </si>
  <si>
    <t xml:space="preserve">  BUSINESS INFO</t>
  </si>
  <si>
    <t xml:space="preserve">  Your Name / Business Name</t>
  </si>
  <si>
    <t xml:space="preserve">Jane Doe Creative</t>
  </si>
  <si>
    <t xml:space="preserve">  Business Type</t>
  </si>
  <si>
    <t xml:space="preserve">Sole Proprietor</t>
  </si>
  <si>
    <t xml:space="preserve">  Tax Year</t>
  </si>
  <si>
    <t xml:space="preserve">  Currency</t>
  </si>
  <si>
    <t xml:space="preserve">USD</t>
  </si>
  <si>
    <t xml:space="preserve">  TAX RATES</t>
  </si>
  <si>
    <t xml:space="preserve">  Federal Income Tax Rate</t>
  </si>
  <si>
    <t xml:space="preserve">  State Income Tax Rate</t>
  </si>
  <si>
    <t xml:space="preserve">  Self-Employment Tax Rate</t>
  </si>
  <si>
    <t xml:space="preserve">  Tax Set-Aside % (per payment)</t>
  </si>
  <si>
    <t xml:space="preserve">  GOALS</t>
  </si>
  <si>
    <t xml:space="preserve">  Monthly Revenue Goal</t>
  </si>
  <si>
    <t xml:space="preserve">  Monthly Expense Budget</t>
  </si>
  <si>
    <t xml:space="preserve">  Target Annual Take-Home</t>
  </si>
  <si>
    <t xml:space="preserve">  Target Billable Hours/Week</t>
  </si>
  <si>
    <t xml:space="preserve">  INVOICE SETTINGS</t>
  </si>
  <si>
    <t xml:space="preserve">  Default Payment Terms (days)</t>
  </si>
  <si>
    <t xml:space="preserve">  1099 Threshold ($)</t>
  </si>
  <si>
    <t xml:space="preserve">  HOME OFFICE</t>
  </si>
  <si>
    <t xml:space="preserve">  Home Office Sq Ft</t>
  </si>
  <si>
    <t xml:space="preserve">  Total Home Sq Ft</t>
  </si>
  <si>
    <t xml:space="preserve">  Monthly Rent/Mortgage</t>
  </si>
  <si>
    <t xml:space="preserve">  Monthly Utilities</t>
  </si>
  <si>
    <t xml:space="preserve">💰  INCOME LOG</t>
  </si>
  <si>
    <t xml:space="preserve">Log every payment. Tax set-aside auto-calculates. 1099 alert triggers at $600 per client.</t>
  </si>
  <si>
    <t xml:space="preserve">Date</t>
  </si>
  <si>
    <t xml:space="preserve">Client</t>
  </si>
  <si>
    <t xml:space="preserve">Project / Description</t>
  </si>
  <si>
    <t xml:space="preserve">Category</t>
  </si>
  <si>
    <t xml:space="preserve">Invoice #</t>
  </si>
  <si>
    <t xml:space="preserve">Amount ($)</t>
  </si>
  <si>
    <t xml:space="preserve">Set Aside (Tax)</t>
  </si>
  <si>
    <t xml:space="preserve">Payment Method</t>
  </si>
  <si>
    <t xml:space="preserve">Notes</t>
  </si>
  <si>
    <t xml:space="preserve">2026-01-05</t>
  </si>
  <si>
    <t xml:space="preserve">Acme Corp</t>
  </si>
  <si>
    <t xml:space="preserve">Brand Identity Design</t>
  </si>
  <si>
    <t xml:space="preserve">Design</t>
  </si>
  <si>
    <t xml:space="preserve">INV-001</t>
  </si>
  <si>
    <t xml:space="preserve">Bank Transfer</t>
  </si>
  <si>
    <t xml:space="preserve">2026-01-12</t>
  </si>
  <si>
    <t xml:space="preserve">Beta Startup</t>
  </si>
  <si>
    <t xml:space="preserve">Website Development</t>
  </si>
  <si>
    <t xml:space="preserve">Development</t>
  </si>
  <si>
    <t xml:space="preserve">INV-002</t>
  </si>
  <si>
    <t xml:space="preserve">PayPal</t>
  </si>
  <si>
    <t xml:space="preserve">50% deposit</t>
  </si>
  <si>
    <t xml:space="preserve">2026-01-20</t>
  </si>
  <si>
    <t xml:space="preserve">Gamma LLC</t>
  </si>
  <si>
    <t xml:space="preserve">SEO Consulting</t>
  </si>
  <si>
    <t xml:space="preserve">Consulting</t>
  </si>
  <si>
    <t xml:space="preserve">INV-003</t>
  </si>
  <si>
    <t xml:space="preserve">Check</t>
  </si>
  <si>
    <t xml:space="preserve">2026-02-03</t>
  </si>
  <si>
    <t xml:space="preserve">Logo Revisions</t>
  </si>
  <si>
    <t xml:space="preserve">INV-004</t>
  </si>
  <si>
    <t xml:space="preserve">2026-02-14</t>
  </si>
  <si>
    <t xml:space="preserve">Delta Media</t>
  </si>
  <si>
    <t xml:space="preserve">Social Media Strategy</t>
  </si>
  <si>
    <t xml:space="preserve">INV-005</t>
  </si>
  <si>
    <t xml:space="preserve">Stripe</t>
  </si>
  <si>
    <t xml:space="preserve">2026-02-28</t>
  </si>
  <si>
    <t xml:space="preserve">Website Dev Phase 2</t>
  </si>
  <si>
    <t xml:space="preserve">INV-006</t>
  </si>
  <si>
    <t xml:space="preserve">Final payment</t>
  </si>
  <si>
    <t xml:space="preserve">2026-03-05</t>
  </si>
  <si>
    <t xml:space="preserve">Epsilon Co</t>
  </si>
  <si>
    <t xml:space="preserve">Copywriting Package</t>
  </si>
  <si>
    <t xml:space="preserve">Writing</t>
  </si>
  <si>
    <t xml:space="preserve">INV-007</t>
  </si>
  <si>
    <t xml:space="preserve">2026-03-18</t>
  </si>
  <si>
    <t xml:space="preserve">SEO Consulting Mar</t>
  </si>
  <si>
    <t xml:space="preserve">INV-008</t>
  </si>
  <si>
    <t xml:space="preserve">2026-03-25</t>
  </si>
  <si>
    <t xml:space="preserve">Zeta Brands</t>
  </si>
  <si>
    <t xml:space="preserve">Marketing Campaign</t>
  </si>
  <si>
    <t xml:space="preserve">Marketing</t>
  </si>
  <si>
    <t xml:space="preserve">INV-009</t>
  </si>
  <si>
    <t xml:space="preserve">TOTAL</t>
  </si>
  <si>
    <t xml:space="preserve">💸  EXPENSE TRACKER</t>
  </si>
  <si>
    <t xml:space="preserve">Track every business expense. Tax-deductible items reduce your taxable income.</t>
  </si>
  <si>
    <t xml:space="preserve">Vendor</t>
  </si>
  <si>
    <t xml:space="preserve">Description</t>
  </si>
  <si>
    <t xml:space="preserve">Receipt #</t>
  </si>
  <si>
    <t xml:space="preserve">Deductible?</t>
  </si>
  <si>
    <t xml:space="preserve">2026-01-02</t>
  </si>
  <si>
    <t xml:space="preserve">Adobe Inc</t>
  </si>
  <si>
    <t xml:space="preserve">Creative Cloud</t>
  </si>
  <si>
    <t xml:space="preserve">Software</t>
  </si>
  <si>
    <t xml:space="preserve">RCP-001</t>
  </si>
  <si>
    <t xml:space="preserve">Yes</t>
  </si>
  <si>
    <t xml:space="preserve">2026-01-08</t>
  </si>
  <si>
    <t xml:space="preserve">WeWork</t>
  </si>
  <si>
    <t xml:space="preserve">Co-working Jan</t>
  </si>
  <si>
    <t xml:space="preserve">Office</t>
  </si>
  <si>
    <t xml:space="preserve">RCP-002</t>
  </si>
  <si>
    <t xml:space="preserve">2026-01-15</t>
  </si>
  <si>
    <t xml:space="preserve">Amazon</t>
  </si>
  <si>
    <t xml:space="preserve">Office Supplies</t>
  </si>
  <si>
    <t xml:space="preserve">Supplies</t>
  </si>
  <si>
    <t xml:space="preserve">RCP-003</t>
  </si>
  <si>
    <t xml:space="preserve">2026-02-01</t>
  </si>
  <si>
    <t xml:space="preserve">RCP-004</t>
  </si>
  <si>
    <t xml:space="preserve">2026-02-08</t>
  </si>
  <si>
    <t xml:space="preserve">Co-working Feb</t>
  </si>
  <si>
    <t xml:space="preserve">RCP-005</t>
  </si>
  <si>
    <t xml:space="preserve">2026-02-20</t>
  </si>
  <si>
    <t xml:space="preserve">Uber</t>
  </si>
  <si>
    <t xml:space="preserve">Client Meeting</t>
  </si>
  <si>
    <t xml:space="preserve">Travel</t>
  </si>
  <si>
    <t xml:space="preserve">RCP-006</t>
  </si>
  <si>
    <t xml:space="preserve">2026-03-01</t>
  </si>
  <si>
    <t xml:space="preserve">RCP-007</t>
  </si>
  <si>
    <t xml:space="preserve">2026-03-10</t>
  </si>
  <si>
    <t xml:space="preserve">Best Buy</t>
  </si>
  <si>
    <t xml:space="preserve">External Drive</t>
  </si>
  <si>
    <t xml:space="preserve">Equipment</t>
  </si>
  <si>
    <t xml:space="preserve">RCP-008</t>
  </si>
  <si>
    <t xml:space="preserve">2026-03-22</t>
  </si>
  <si>
    <t xml:space="preserve">Mailchimp</t>
  </si>
  <si>
    <t xml:space="preserve">Email Marketing</t>
  </si>
  <si>
    <t xml:space="preserve">RCP-009</t>
  </si>
  <si>
    <t xml:space="preserve">  DEDUCTIBLE TOTAL (reduces taxable income)</t>
  </si>
  <si>
    <t xml:space="preserve">🚗  MILEAGE &amp; HOME OFFICE DEDUCTIONS</t>
  </si>
  <si>
    <t xml:space="preserve">Two of the most missed deductions. Auto-calculates your annual deduction.</t>
  </si>
  <si>
    <t xml:space="preserve">  MILEAGE LOG  (IRS Standard Rate auto-applied)</t>
  </si>
  <si>
    <t xml:space="preserve">Purpose / Destination</t>
  </si>
  <si>
    <t xml:space="preserve">From</t>
  </si>
  <si>
    <t xml:space="preserve">To</t>
  </si>
  <si>
    <t xml:space="preserve">Miles</t>
  </si>
  <si>
    <t xml:space="preserve">Rate ($/mi)</t>
  </si>
  <si>
    <t xml:space="preserve">Deduction ($)</t>
  </si>
  <si>
    <t xml:space="preserve">2026-01-10</t>
  </si>
  <si>
    <t xml:space="preserve">Client Meeting — Acme Corp</t>
  </si>
  <si>
    <t xml:space="preserve">Home</t>
  </si>
  <si>
    <t xml:space="preserve">Acme Office</t>
  </si>
  <si>
    <t xml:space="preserve">2026-01-22</t>
  </si>
  <si>
    <t xml:space="preserve">Office Supply Run</t>
  </si>
  <si>
    <t xml:space="preserve">Staples</t>
  </si>
  <si>
    <t xml:space="preserve">2026-02-05</t>
  </si>
  <si>
    <t xml:space="preserve">Networking Event</t>
  </si>
  <si>
    <t xml:space="preserve">Downtown Convention</t>
  </si>
  <si>
    <t xml:space="preserve">2026-02-18</t>
  </si>
  <si>
    <t xml:space="preserve">Client Presentation — Beta</t>
  </si>
  <si>
    <t xml:space="preserve">Beta HQ</t>
  </si>
  <si>
    <t xml:space="preserve">2026-03-12</t>
  </si>
  <si>
    <t xml:space="preserve">Post Office — Invoice Docs</t>
  </si>
  <si>
    <t xml:space="preserve">USPS</t>
  </si>
  <si>
    <t xml:space="preserve">TOTAL MILEAGE DEDUCTION</t>
  </si>
  <si>
    <t xml:space="preserve">  HOME OFFICE DEDUCTION (Simplified Method)</t>
  </si>
  <si>
    <t xml:space="preserve">  Business Use %</t>
  </si>
  <si>
    <t xml:space="preserve">  Annual Home Costs</t>
  </si>
  <si>
    <t xml:space="preserve">  HOME OFFICE DEDUCTION</t>
  </si>
  <si>
    <t xml:space="preserve">🧾  INVOICE TRACKER</t>
  </si>
  <si>
    <t xml:space="preserve">Status auto-highlights. Aging buckets show cash flow health at a glance.</t>
  </si>
  <si>
    <t xml:space="preserve">Issue Date</t>
  </si>
  <si>
    <t xml:space="preserve">Due Date</t>
  </si>
  <si>
    <t xml:space="preserve">Paid Date</t>
  </si>
  <si>
    <t xml:space="preserve">Status</t>
  </si>
  <si>
    <t xml:space="preserve">Days Overdue</t>
  </si>
  <si>
    <t xml:space="preserve">Brand Identity</t>
  </si>
  <si>
    <t xml:space="preserve">2026-01-01</t>
  </si>
  <si>
    <t xml:space="preserve">2026-01-31</t>
  </si>
  <si>
    <t xml:space="preserve">2026-01-28</t>
  </si>
  <si>
    <t xml:space="preserve">Paid</t>
  </si>
  <si>
    <t xml:space="preserve">Website Dev</t>
  </si>
  <si>
    <t xml:space="preserve">2026-02-09</t>
  </si>
  <si>
    <t xml:space="preserve">SEO Jan</t>
  </si>
  <si>
    <t xml:space="preserve">2026-03-02</t>
  </si>
  <si>
    <t xml:space="preserve">Social Strategy</t>
  </si>
  <si>
    <t xml:space="preserve">2026-02-10</t>
  </si>
  <si>
    <t xml:space="preserve">2026-03-11</t>
  </si>
  <si>
    <t xml:space="preserve">Overdue</t>
  </si>
  <si>
    <t xml:space="preserve">Website Phase 2</t>
  </si>
  <si>
    <t xml:space="preserve">2026-02-25</t>
  </si>
  <si>
    <t xml:space="preserve">2026-03-26</t>
  </si>
  <si>
    <t xml:space="preserve">Copywriting</t>
  </si>
  <si>
    <t xml:space="preserve">2026-03-31</t>
  </si>
  <si>
    <t xml:space="preserve">Pending</t>
  </si>
  <si>
    <t xml:space="preserve">SEO Mar</t>
  </si>
  <si>
    <t xml:space="preserve">2026-03-15</t>
  </si>
  <si>
    <t xml:space="preserve">2026-04-14</t>
  </si>
  <si>
    <t xml:space="preserve">2026-03-20</t>
  </si>
  <si>
    <t xml:space="preserve">2026-04-19</t>
  </si>
  <si>
    <t xml:space="preserve">  INVOICE AGING SUMMARY</t>
  </si>
  <si>
    <t xml:space="preserve">  Current (not yet due)</t>
  </si>
  <si>
    <t xml:space="preserve">  1–30 Days Overdue</t>
  </si>
  <si>
    <t xml:space="preserve">  31–60 Days Overdue</t>
  </si>
  <si>
    <t xml:space="preserve">  60+ Days Overdue (collections?)</t>
  </si>
  <si>
    <t xml:space="preserve">  Total Collected (Paid)</t>
  </si>
  <si>
    <t xml:space="preserve">🧮  TAX ESTIMATOR &amp; QUARTERLY TRACKER</t>
  </si>
  <si>
    <t xml:space="preserve">Estimates only — consult a CPA. Updates live as you log income and expenses.</t>
  </si>
  <si>
    <t xml:space="preserve">  TAX SUMMARY</t>
  </si>
  <si>
    <t xml:space="preserve">  Gross Income (YTD)</t>
  </si>
  <si>
    <t xml:space="preserve">  Total Deductible Expenses</t>
  </si>
  <si>
    <t xml:space="preserve">  Mileage Deduction</t>
  </si>
  <si>
    <t xml:space="preserve">  Home Office Deduction</t>
  </si>
  <si>
    <t xml:space="preserve">  Total Deductions</t>
  </si>
  <si>
    <t xml:space="preserve">  NET TAXABLE INCOME</t>
  </si>
  <si>
    <t xml:space="preserve">  TAX RATES (from Settings)</t>
  </si>
  <si>
    <t xml:space="preserve">  Federal Rate</t>
  </si>
  <si>
    <t xml:space="preserve">  State Rate</t>
  </si>
  <si>
    <t xml:space="preserve">  SE Tax Rate</t>
  </si>
  <si>
    <t xml:space="preserve">  TAX ESTIMATES</t>
  </si>
  <si>
    <t xml:space="preserve">  Estimated Federal Tax</t>
  </si>
  <si>
    <t xml:space="preserve">  Estimated State Tax</t>
  </si>
  <si>
    <t xml:space="preserve">  Estimated SE Tax</t>
  </si>
  <si>
    <t xml:space="preserve">  TOTAL ESTIMATED TAX</t>
  </si>
  <si>
    <t xml:space="preserve">  Effective Tax Rate</t>
  </si>
  <si>
    <t xml:space="preserve">  TAKE-HOME SUMMARY</t>
  </si>
  <si>
    <t xml:space="preserve">  Gross Income</t>
  </si>
  <si>
    <t xml:space="preserve">  Minus: All Expenses</t>
  </si>
  <si>
    <t xml:space="preserve">  Minus: Total Tax</t>
  </si>
  <si>
    <t xml:space="preserve">  ESTIMATED NET TAKE-HOME</t>
  </si>
  <si>
    <t xml:space="preserve">  Monthly Average Take-Home</t>
  </si>
  <si>
    <t xml:space="preserve">  QUARTERLY ESTIMATED PAYMENTS</t>
  </si>
  <si>
    <t xml:space="preserve">Quarter</t>
  </si>
  <si>
    <t xml:space="preserve">Est. Tax Due</t>
  </si>
  <si>
    <t xml:space="preserve">Amount Paid</t>
  </si>
  <si>
    <t xml:space="preserve">Balance Owed</t>
  </si>
  <si>
    <t xml:space="preserve">Q1  Jan–Mar</t>
  </si>
  <si>
    <t xml:space="preserve">April 15, 2026</t>
  </si>
  <si>
    <t xml:space="preserve">Q2  Apr–Jun</t>
  </si>
  <si>
    <t xml:space="preserve">June 15, 2026</t>
  </si>
  <si>
    <t xml:space="preserve">Q3  Jul–Sep</t>
  </si>
  <si>
    <t xml:space="preserve">September 15, 2026</t>
  </si>
  <si>
    <t xml:space="preserve">Q4  Oct–Dec</t>
  </si>
  <si>
    <t xml:space="preserve">January 15, 2027</t>
  </si>
  <si>
    <t xml:space="preserve">👥  CLIENT REPORT — Who's Worth Your Time?</t>
  </si>
  <si>
    <t xml:space="preserve">Auto-calculates revenue per client, invoice count, and 1099 alert. Refresh with Ctrl+Alt+F9.</t>
  </si>
  <si>
    <t xml:space="preserve">Client Name</t>
  </si>
  <si>
    <t xml:space="preserve">Total Billed</t>
  </si>
  <si>
    <t xml:space="preserve"># Invoices</t>
  </si>
  <si>
    <t xml:space="preserve">Avg Invoice</t>
  </si>
  <si>
    <t xml:space="preserve">Paid Total</t>
  </si>
  <si>
    <t xml:space="preserve">Outstanding</t>
  </si>
  <si>
    <t xml:space="preserve">1099 Alert</t>
  </si>
  <si>
    <t xml:space="preserve">💡  WHAT SHOULD I CHARGE?  Rate Calculator</t>
  </si>
  <si>
    <t xml:space="preserve">Enter your goals → get your minimum viable rate. Never undercharge again.</t>
  </si>
  <si>
    <t xml:space="preserve">  YOUR GOALS</t>
  </si>
  <si>
    <t xml:space="preserve">From Settings</t>
  </si>
  <si>
    <t xml:space="preserve">  Total Tax Rate (est.)</t>
  </si>
  <si>
    <t xml:space="preserve">Federal+State+SE</t>
  </si>
  <si>
    <t xml:space="preserve">  Gross Income Needed</t>
  </si>
  <si>
    <t xml:space="preserve">Take-home ÷ (1−tax rate)</t>
  </si>
  <si>
    <t xml:space="preserve">  Annual Business Expenses (est.)</t>
  </si>
  <si>
    <t xml:space="preserve">From Expense Log</t>
  </si>
  <si>
    <t xml:space="preserve">  TOTAL REVENUE NEEDED</t>
  </si>
  <si>
    <t xml:space="preserve">  YOUR TIME</t>
  </si>
  <si>
    <t xml:space="preserve">  Billable Hours per Week</t>
  </si>
  <si>
    <t xml:space="preserve">  Weeks Off per Year</t>
  </si>
  <si>
    <t xml:space="preserve">Vacation + holidays</t>
  </si>
  <si>
    <t xml:space="preserve">  Billable Weeks per Year</t>
  </si>
  <si>
    <t xml:space="preserve">  TOTAL BILLABLE HOURS/YEAR</t>
  </si>
  <si>
    <t xml:space="preserve">  YOUR MINIMUM RATES</t>
  </si>
  <si>
    <t xml:space="preserve">  Minimum Hourly Rate</t>
  </si>
  <si>
    <t xml:space="preserve">Break-even rate</t>
  </si>
  <si>
    <t xml:space="preserve">  Add 20% cushion</t>
  </si>
  <si>
    <t xml:space="preserve">Recommended floor</t>
  </si>
  <si>
    <t xml:space="preserve">  Add 40% cushion</t>
  </si>
  <si>
    <t xml:space="preserve">Comfortable rate</t>
  </si>
  <si>
    <t xml:space="preserve">  PROJECT RATE ESTIMATOR</t>
  </si>
  <si>
    <t xml:space="preserve">  Estimated Hours for Project</t>
  </si>
  <si>
    <t xml:space="preserve">← Change this</t>
  </si>
  <si>
    <t xml:space="preserve">  Your Target Hourly Rate</t>
  </si>
  <si>
    <t xml:space="preserve">← Or override</t>
  </si>
  <si>
    <t xml:space="preserve">  PROJECT MINIMUM PRICE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</si>
</sst>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;&quot;($&quot;#,##0\);\-"/>
    <numFmt numFmtId="166" formatCode="0.0%"/>
    <numFmt numFmtId="167" formatCode="0"/>
    <numFmt numFmtId="168" formatCode="\$#,##0.00;&quot;($&quot;#,##0.00\);\-"/>
    <numFmt numFmtId="169" formatCode="0.0%;\(0.0%\);\—"/>
    <numFmt numFmtId="170" formatCode="\$#,##0"/>
    <numFmt numFmtId="171" formatCode="yyyy\-mm\-dd"/>
    <numFmt numFmtId="172" formatCode="0.0"/>
    <numFmt numFmtId="173" formatCode="\$0.000"/>
    <numFmt numFmtId="174" formatCode="#,##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2"/>
      <color rgb="FF1B2A4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7"/>
      <color rgb="FF1B2A4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sz val="10"/>
      <color rgb="FF1B2A4A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8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1B2A4A"/>
      <name val="Arial"/>
      <family val="0"/>
      <charset val="1"/>
    </font>
    <font>
      <b val="true"/>
      <sz val="11"/>
      <color rgb="FF000080"/>
      <name val="Arial"/>
      <family val="0"/>
      <charset val="1"/>
    </font>
    <font>
      <sz val="10"/>
      <color rgb="FF000080"/>
      <name val="Arial"/>
      <family val="0"/>
      <charset val="1"/>
    </font>
    <font>
      <b val="true"/>
      <sz val="10"/>
      <color rgb="FF1A7F55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sz val="11"/>
      <color rgb="FF1A7F55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B7770D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3"/>
      <color rgb="FF1B2A4A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B2A4A"/>
        <bgColor rgb="FF2E4057"/>
      </patternFill>
    </fill>
    <fill>
      <patternFill patternType="solid">
        <fgColor rgb="FF0D7377"/>
        <bgColor rgb="FF117A65"/>
      </patternFill>
    </fill>
    <fill>
      <patternFill patternType="solid">
        <fgColor rgb="FFC0392B"/>
        <bgColor rgb="FF993366"/>
      </patternFill>
    </fill>
    <fill>
      <patternFill patternType="solid">
        <fgColor rgb="FF1A7F55"/>
        <bgColor rgb="FF117A65"/>
      </patternFill>
    </fill>
    <fill>
      <patternFill patternType="solid">
        <fgColor rgb="FFF4F7FB"/>
        <bgColor rgb="FFF9F9F9"/>
      </patternFill>
    </fill>
    <fill>
      <patternFill patternType="solid">
        <fgColor rgb="FF8B0000"/>
        <bgColor rgb="FF800000"/>
      </patternFill>
    </fill>
    <fill>
      <patternFill patternType="solid">
        <fgColor rgb="FF2E4057"/>
        <bgColor rgb="FF154360"/>
      </patternFill>
    </fill>
    <fill>
      <patternFill patternType="solid">
        <fgColor rgb="FFB7770D"/>
        <bgColor rgb="FF7D6608"/>
      </patternFill>
    </fill>
    <fill>
      <patternFill patternType="solid">
        <fgColor rgb="FF6C3483"/>
        <bgColor rgb="FF993366"/>
      </patternFill>
    </fill>
    <fill>
      <patternFill patternType="solid">
        <fgColor rgb="FFEAF1F8"/>
        <bgColor rgb="FFF4F7FB"/>
      </patternFill>
    </fill>
    <fill>
      <patternFill patternType="solid">
        <fgColor rgb="FFFFFFFF"/>
        <bgColor rgb="FFF9F9F9"/>
      </patternFill>
    </fill>
    <fill>
      <patternFill patternType="solid">
        <fgColor rgb="FFE8A838"/>
        <bgColor rgb="FFFFCC00"/>
      </patternFill>
    </fill>
    <fill>
      <patternFill patternType="solid">
        <fgColor rgb="FFFFF8E7"/>
        <bgColor rgb="FFFEF9E7"/>
      </patternFill>
    </fill>
    <fill>
      <patternFill patternType="solid">
        <fgColor rgb="FFD5F5E3"/>
        <bgColor rgb="FFEAF1F8"/>
      </patternFill>
    </fill>
    <fill>
      <patternFill patternType="solid">
        <fgColor rgb="FFFADBD8"/>
        <bgColor rgb="FFD9D9D9"/>
      </patternFill>
    </fill>
    <fill>
      <patternFill patternType="solid">
        <fgColor rgb="FFFEF9E7"/>
        <bgColor rgb="FFFFF8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5D3E0"/>
      </left>
      <right/>
      <top style="thin">
        <color rgb="FFC5D3E0"/>
      </top>
      <bottom style="thin">
        <color rgb="FFC5D3E0"/>
      </bottom>
      <diagonal/>
    </border>
    <border diagonalUp="false" diagonalDown="false">
      <left style="thin">
        <color rgb="FFC5D3E0"/>
      </left>
      <right style="thin">
        <color rgb="FFC5D3E0"/>
      </right>
      <top style="thin">
        <color rgb="FFC5D3E0"/>
      </top>
      <bottom style="thin">
        <color rgb="FFC5D3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3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2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2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1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1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6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1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2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1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7D6608"/>
      <rgbColor rgb="FF800080"/>
      <rgbColor rgb="FF0D7377"/>
      <rgbColor rgb="FFD9D9D9"/>
      <rgbColor rgb="FF878787"/>
      <rgbColor rgb="FF9999FF"/>
      <rgbColor rgb="FF6C3483"/>
      <rgbColor rgb="FFFEF9E7"/>
      <rgbColor rgb="FFEAF1F8"/>
      <rgbColor rgb="FF660066"/>
      <rgbColor rgb="FFFF8080"/>
      <rgbColor rgb="FF0066CC"/>
      <rgbColor rgb="FFC5D3E0"/>
      <rgbColor rgb="FF000080"/>
      <rgbColor rgb="FFFF00FF"/>
      <rgbColor rgb="FFFFFF00"/>
      <rgbColor rgb="FF00FFFF"/>
      <rgbColor rgb="FF800080"/>
      <rgbColor rgb="FF800000"/>
      <rgbColor rgb="FF117A65"/>
      <rgbColor rgb="FF0000FF"/>
      <rgbColor rgb="FF00CCFF"/>
      <rgbColor rgb="FFF4F7FB"/>
      <rgbColor rgb="FFD5F5E3"/>
      <rgbColor rgb="FFFFF8E7"/>
      <rgbColor rgb="FFF9F9F9"/>
      <rgbColor rgb="FFFF99CC"/>
      <rgbColor rgb="FFCC99FF"/>
      <rgbColor rgb="FFFADBD8"/>
      <rgbColor rgb="FF3366FF"/>
      <rgbColor rgb="FF33CCCC"/>
      <rgbColor rgb="FF99CC00"/>
      <rgbColor rgb="FFFFCC00"/>
      <rgbColor rgb="FFE8A838"/>
      <rgbColor rgb="FFB7770D"/>
      <rgbColor rgb="FF666699"/>
      <rgbColor rgb="FF888888"/>
      <rgbColor rgb="FF154360"/>
      <rgbColor rgb="FF1A7F55"/>
      <rgbColor rgb="FF003300"/>
      <rgbColor rgb="FF1B2A4A"/>
      <rgbColor rgb="FFC0392B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Income vs Expenses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'📊 Dashboard'!C18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0d737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Dashboard'!$B$19:$B$30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'📊 Dashboard'!$C$19:$C$30</c:f>
              <c:numCache>
                <c:formatCode>\$#,##0.00;"($"#,##0.00\);\-</c:formatCode>
                <c:ptCount val="12"/>
                <c:pt idx="0">
                  <c:v>9700</c:v>
                </c:pt>
                <c:pt idx="1">
                  <c:v>8000</c:v>
                </c:pt>
                <c:pt idx="2">
                  <c:v>7500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'📊 Dashboard'!D18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Dashboard'!$B$19:$B$30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'📊 Dashboard'!$D$19:$D$30</c:f>
              <c:numCache>
                <c:formatCode>\$#,##0.00;"($"#,##0.00\);\-</c:formatCode>
                <c:ptCount val="12"/>
                <c:pt idx="0">
                  <c:v>492.42</c:v>
                </c:pt>
                <c:pt idx="1">
                  <c:v>439.49</c:v>
                </c:pt>
                <c:pt idx="2">
                  <c:v>233.98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69849620"/>
        <c:axId val="83418358"/>
      </c:barChart>
      <c:catAx>
        <c:axId val="698496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418358"/>
        <c:crosses val="autoZero"/>
        <c:auto val="1"/>
        <c:lblAlgn val="ctr"/>
        <c:lblOffset val="100"/>
        <c:noMultiLvlLbl val="0"/>
      </c:catAx>
      <c:valAx>
        <c:axId val="834183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;&quot;($&quot;#,##0.0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8496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Net Profit (YTD)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'📊 Dashboard'!G18</c:f>
              <c:strCache>
                <c:ptCount val="1"/>
                <c:pt idx="0">
                  <c:v>Running Net</c:v>
                </c:pt>
              </c:strCache>
            </c:strRef>
          </c:tx>
          <c:spPr>
            <a:solidFill>
              <a:srgbClr val="1a7f55"/>
            </a:solidFill>
            <a:ln w="24840">
              <a:solidFill>
                <a:srgbClr val="1a7f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Dashboard'!$B$19:$B$30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'📊 Dashboard'!$G$19:$G$30</c:f>
              <c:numCache>
                <c:formatCode>\$#,##0.00;"($"#,##0.00\);\-</c:formatCode>
                <c:ptCount val="12"/>
                <c:pt idx="0">
                  <c:v>9207.58</c:v>
                </c:pt>
                <c:pt idx="1">
                  <c:v>16768.09</c:v>
                </c:pt>
                <c:pt idx="2">
                  <c:v>24034.11</c:v>
                </c:pt>
                <c:pt idx="3">
                  <c:v>24034.11</c:v>
                </c:pt>
                <c:pt idx="4">
                  <c:v>24034.11</c:v>
                </c:pt>
                <c:pt idx="5">
                  <c:v>24034.11</c:v>
                </c:pt>
                <c:pt idx="6">
                  <c:v>24034.11</c:v>
                </c:pt>
                <c:pt idx="7">
                  <c:v>24034.11</c:v>
                </c:pt>
                <c:pt idx="8">
                  <c:v>24034.11</c:v>
                </c:pt>
                <c:pt idx="9">
                  <c:v>24034.11</c:v>
                </c:pt>
                <c:pt idx="10">
                  <c:v>24034.11</c:v>
                </c:pt>
                <c:pt idx="11">
                  <c:v>24034.11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3509372"/>
        <c:axId val="29230913"/>
      </c:lineChart>
      <c:catAx>
        <c:axId val="535093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230913"/>
        <c:crosses val="autoZero"/>
        <c:auto val="1"/>
        <c:lblAlgn val="ctr"/>
        <c:lblOffset val="100"/>
        <c:noMultiLvlLbl val="0"/>
      </c:catAx>
      <c:valAx>
        <c:axId val="292309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Net Profit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;&quot;($&quot;#,##0.0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5093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42</xdr:row>
      <xdr:rowOff>0</xdr:rowOff>
    </xdr:from>
    <xdr:to>
      <xdr:col>6</xdr:col>
      <xdr:colOff>840240</xdr:colOff>
      <xdr:row>60</xdr:row>
      <xdr:rowOff>169920</xdr:rowOff>
    </xdr:to>
    <xdr:graphicFrame>
      <xdr:nvGraphicFramePr>
        <xdr:cNvPr id="0" name="Chart 1"/>
        <xdr:cNvGraphicFramePr/>
      </xdr:nvGraphicFramePr>
      <xdr:xfrm>
        <a:off x="141120" y="11487240"/>
        <a:ext cx="6478920" cy="35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42</xdr:row>
      <xdr:rowOff>0</xdr:rowOff>
    </xdr:from>
    <xdr:to>
      <xdr:col>13</xdr:col>
      <xdr:colOff>508680</xdr:colOff>
      <xdr:row>60</xdr:row>
      <xdr:rowOff>169920</xdr:rowOff>
    </xdr:to>
    <xdr:graphicFrame>
      <xdr:nvGraphicFramePr>
        <xdr:cNvPr id="1" name="Chart 2"/>
        <xdr:cNvGraphicFramePr/>
      </xdr:nvGraphicFramePr>
      <xdr:xfrm>
        <a:off x="4651920" y="11487240"/>
        <a:ext cx="6478920" cy="35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838"/>
    <pageSetUpPr fitToPage="false"/>
  </sheetPr>
  <dimension ref="A1:I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8" min="2" style="1" width="16"/>
    <col collapsed="false" customWidth="true" hidden="false" outlineLevel="0" max="9" min="9" style="1" width="2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25.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</row>
    <row r="3" customFormat="false" ht="25.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9.5" hidden="false" customHeight="true" outlineLevel="0" collapsed="false">
      <c r="A4" s="3" t="str">
        <f aca="false">'⚙ Settings'!C5&amp;"  |  Updated live as you enter data in each sheet"</f>
        <v>Jane Doe Creative  |  Updated live as you enter data in each sheet</v>
      </c>
      <c r="B4" s="3"/>
      <c r="C4" s="3"/>
      <c r="D4" s="3"/>
      <c r="E4" s="3"/>
      <c r="F4" s="3"/>
      <c r="G4" s="3"/>
      <c r="H4" s="3"/>
      <c r="I4" s="3"/>
    </row>
    <row r="5" customFormat="false" ht="12" hidden="false" customHeight="true" outlineLevel="0" collapsed="false"/>
    <row r="6" customFormat="false" ht="27.75" hidden="false" customHeight="true" outlineLevel="0" collapsed="false">
      <c r="B6" s="4" t="s">
        <v>1</v>
      </c>
      <c r="C6" s="4"/>
      <c r="D6" s="4"/>
      <c r="E6" s="4"/>
      <c r="F6" s="4"/>
      <c r="G6" s="4"/>
      <c r="H6" s="4"/>
    </row>
    <row r="7" customFormat="false" ht="21.75" hidden="false" customHeight="true" outlineLevel="0" collapsed="false">
      <c r="B7" s="5" t="s">
        <v>2</v>
      </c>
      <c r="C7" s="5"/>
      <c r="D7" s="6" t="s">
        <v>3</v>
      </c>
      <c r="E7" s="6"/>
      <c r="F7" s="7" t="s">
        <v>4</v>
      </c>
      <c r="G7" s="7"/>
    </row>
    <row r="8" customFormat="false" ht="45.75" hidden="false" customHeight="true" outlineLevel="0" collapsed="false">
      <c r="B8" s="8" t="n">
        <f aca="false">'💰 Income Log'!F64</f>
        <v>25200</v>
      </c>
      <c r="C8" s="8"/>
      <c r="D8" s="8" t="n">
        <f aca="false">'💰 Income Log'!G64</f>
        <v>3855.6</v>
      </c>
      <c r="E8" s="8"/>
      <c r="F8" s="8" t="n">
        <f aca="false">'💰 Income Log'!F64-'💸 Expenses'!F64-'💰 Income Log'!G64</f>
        <v>20178.51</v>
      </c>
      <c r="G8" s="8"/>
    </row>
    <row r="9" customFormat="false" ht="9.75" hidden="false" customHeight="true" outlineLevel="0" collapsed="false"/>
    <row r="10" customFormat="false" ht="19.5" hidden="false" customHeight="true" outlineLevel="0" collapsed="false">
      <c r="B10" s="9" t="s">
        <v>5</v>
      </c>
      <c r="C10" s="9"/>
      <c r="D10" s="10" t="s">
        <v>6</v>
      </c>
      <c r="E10" s="10"/>
      <c r="F10" s="11" t="s">
        <v>7</v>
      </c>
      <c r="G10" s="11"/>
      <c r="H10" s="12" t="s">
        <v>8</v>
      </c>
      <c r="I10" s="12"/>
    </row>
    <row r="11" customFormat="false" ht="37.5" hidden="false" customHeight="true" outlineLevel="0" collapsed="false">
      <c r="B11" s="13" t="n">
        <f aca="false">'💸 Expenses'!F64</f>
        <v>1165.89</v>
      </c>
      <c r="C11" s="13"/>
      <c r="D11" s="14" t="n">
        <f aca="false">IFERROR(('💰 Income Log'!F64-'💸 Expenses'!F64)/'💰 Income Log'!F64,0)</f>
        <v>0.953734523809524</v>
      </c>
      <c r="E11" s="14"/>
      <c r="F11" s="15" t="n">
        <f aca="false">COUNTIF('🧾 Invoices'!H5:H53,"Overdue")</f>
        <v>1</v>
      </c>
      <c r="G11" s="15"/>
      <c r="H11" s="13" t="n">
        <f aca="false">SUMIF('🧾 Invoices'!H5:H53,"&lt;&gt;Paid",'🧾 Invoices'!F5:F53)</f>
        <v>9700</v>
      </c>
      <c r="I11" s="13"/>
    </row>
    <row r="13" customFormat="false" ht="19.5" hidden="false" customHeight="true" outlineLevel="0" collapsed="false">
      <c r="B13" s="16" t="s">
        <v>9</v>
      </c>
      <c r="C13" s="16"/>
      <c r="D13" s="17" t="s">
        <v>10</v>
      </c>
      <c r="E13" s="17"/>
      <c r="F13" s="18" t="s">
        <v>11</v>
      </c>
      <c r="G13" s="18"/>
      <c r="H13" s="19" t="s">
        <v>12</v>
      </c>
      <c r="I13" s="19"/>
    </row>
    <row r="14" customFormat="false" ht="37.5" hidden="false" customHeight="true" outlineLevel="0" collapsed="false">
      <c r="B14" s="13" t="n">
        <f aca="false">'⚙ Settings'!C15</f>
        <v>0</v>
      </c>
      <c r="C14" s="13"/>
      <c r="D14" s="13" t="n">
        <f aca="true">SUMPRODUCT((MONTH('💰 Income Log'!A5:A63)=MONTH(TODAY()))*('💰 Income Log'!F5:F63))</f>
        <v>7500</v>
      </c>
      <c r="E14" s="13"/>
      <c r="F14" s="13" t="n">
        <f aca="false">'🧮 Tax Tracker'!B23</f>
        <v>0</v>
      </c>
      <c r="G14" s="13"/>
      <c r="H14" s="13" t="n">
        <f aca="false">IFERROR('🧮 Tax Tracker'!B29/12,0)</f>
        <v>108.144515291667</v>
      </c>
      <c r="I14" s="13"/>
    </row>
    <row r="16" customFormat="false" ht="13.5" hidden="false" customHeight="true" outlineLevel="0" collapsed="false"/>
    <row r="17" customFormat="false" ht="24" hidden="false" customHeight="true" outlineLevel="0" collapsed="false">
      <c r="B17" s="20" t="s">
        <v>13</v>
      </c>
      <c r="C17" s="20"/>
      <c r="D17" s="20"/>
      <c r="E17" s="20"/>
      <c r="F17" s="20"/>
      <c r="G17" s="20"/>
      <c r="H17" s="20"/>
    </row>
    <row r="18" customFormat="false" ht="24" hidden="false" customHeight="true" outlineLevel="0" collapsed="false">
      <c r="B18" s="21" t="s">
        <v>14</v>
      </c>
      <c r="C18" s="21" t="s">
        <v>15</v>
      </c>
      <c r="D18" s="21" t="s">
        <v>16</v>
      </c>
      <c r="E18" s="21" t="s">
        <v>17</v>
      </c>
      <c r="F18" s="21" t="s">
        <v>18</v>
      </c>
      <c r="G18" s="21" t="s">
        <v>19</v>
      </c>
      <c r="H18" s="21" t="s">
        <v>20</v>
      </c>
    </row>
    <row r="19" customFormat="false" ht="19.5" hidden="false" customHeight="true" outlineLevel="0" collapsed="false">
      <c r="B19" s="22" t="s">
        <v>21</v>
      </c>
      <c r="C19" s="23" t="n">
        <f aca="false">SUMPRODUCT((MONTH('💰 Income Log'!A5:A63)=1)*('💰 Income Log'!F5:F63))</f>
        <v>9700</v>
      </c>
      <c r="D19" s="23" t="n">
        <f aca="false">SUMPRODUCT((MONTH('💸 Expenses'!A5:A63)=1)*('💸 Expenses'!F5:F63))</f>
        <v>492.42</v>
      </c>
      <c r="E19" s="23" t="n">
        <f aca="false">C19-D19</f>
        <v>9207.58</v>
      </c>
      <c r="F19" s="24" t="n">
        <f aca="false">IFERROR(E19/C19,0)</f>
        <v>0.949235051546392</v>
      </c>
      <c r="G19" s="25" t="n">
        <f aca="false">E19</f>
        <v>9207.58</v>
      </c>
      <c r="H19" s="23" t="n">
        <f aca="false">C19-'⚙ Settings'!C15</f>
        <v>9700</v>
      </c>
    </row>
    <row r="20" customFormat="false" ht="19.5" hidden="false" customHeight="true" outlineLevel="0" collapsed="false">
      <c r="B20" s="26" t="s">
        <v>22</v>
      </c>
      <c r="C20" s="27" t="n">
        <f aca="false">SUMPRODUCT((MONTH('💰 Income Log'!A5:A63)=2)*('💰 Income Log'!F5:F63))</f>
        <v>8000</v>
      </c>
      <c r="D20" s="27" t="n">
        <f aca="false">SUMPRODUCT((MONTH('💸 Expenses'!A5:A63)=2)*('💸 Expenses'!F5:F63))</f>
        <v>439.49</v>
      </c>
      <c r="E20" s="27" t="n">
        <f aca="false">C20-D20</f>
        <v>7560.51</v>
      </c>
      <c r="F20" s="28" t="n">
        <f aca="false">IFERROR(E20/C20,0)</f>
        <v>0.94506375</v>
      </c>
      <c r="G20" s="29" t="n">
        <f aca="false">G19+E20</f>
        <v>16768.09</v>
      </c>
      <c r="H20" s="27" t="n">
        <f aca="false">C20-'⚙ Settings'!C15</f>
        <v>8000</v>
      </c>
    </row>
    <row r="21" customFormat="false" ht="19.5" hidden="false" customHeight="true" outlineLevel="0" collapsed="false">
      <c r="B21" s="22" t="s">
        <v>23</v>
      </c>
      <c r="C21" s="23" t="n">
        <f aca="false">SUMPRODUCT((MONTH('💰 Income Log'!A5:A63)=3)*('💰 Income Log'!F5:F63))</f>
        <v>7500</v>
      </c>
      <c r="D21" s="23" t="n">
        <f aca="false">SUMPRODUCT((MONTH('💸 Expenses'!A5:A63)=3)*('💸 Expenses'!F5:F63))</f>
        <v>233.98</v>
      </c>
      <c r="E21" s="23" t="n">
        <f aca="false">C21-D21</f>
        <v>7266.02</v>
      </c>
      <c r="F21" s="24" t="n">
        <f aca="false">IFERROR(E21/C21,0)</f>
        <v>0.968802666666667</v>
      </c>
      <c r="G21" s="25" t="n">
        <f aca="false">G20+E21</f>
        <v>24034.11</v>
      </c>
      <c r="H21" s="23" t="n">
        <f aca="false">C21-'⚙ Settings'!C15</f>
        <v>7500</v>
      </c>
    </row>
    <row r="22" customFormat="false" ht="19.5" hidden="false" customHeight="true" outlineLevel="0" collapsed="false">
      <c r="B22" s="26" t="s">
        <v>24</v>
      </c>
      <c r="C22" s="27" t="n">
        <f aca="false">SUMPRODUCT((MONTH('💰 Income Log'!A5:A63)=4)*('💰 Income Log'!F5:F63))</f>
        <v>0</v>
      </c>
      <c r="D22" s="27" t="n">
        <f aca="false">SUMPRODUCT((MONTH('💸 Expenses'!A5:A63)=4)*('💸 Expenses'!F5:F63))</f>
        <v>0</v>
      </c>
      <c r="E22" s="27" t="n">
        <f aca="false">C22-D22</f>
        <v>0</v>
      </c>
      <c r="F22" s="28" t="n">
        <f aca="false">IFERROR(E22/C22,0)</f>
        <v>0</v>
      </c>
      <c r="G22" s="29" t="n">
        <f aca="false">G21+E22</f>
        <v>24034.11</v>
      </c>
      <c r="H22" s="27" t="n">
        <f aca="false">C22-'⚙ Settings'!C15</f>
        <v>0</v>
      </c>
    </row>
    <row r="23" customFormat="false" ht="19.5" hidden="false" customHeight="true" outlineLevel="0" collapsed="false">
      <c r="B23" s="22" t="s">
        <v>25</v>
      </c>
      <c r="C23" s="23" t="n">
        <f aca="false">SUMPRODUCT((MONTH('💰 Income Log'!A5:A63)=5)*('💰 Income Log'!F5:F63))</f>
        <v>0</v>
      </c>
      <c r="D23" s="23" t="n">
        <f aca="false">SUMPRODUCT((MONTH('💸 Expenses'!A5:A63)=5)*('💸 Expenses'!F5:F63))</f>
        <v>0</v>
      </c>
      <c r="E23" s="23" t="n">
        <f aca="false">C23-D23</f>
        <v>0</v>
      </c>
      <c r="F23" s="24" t="n">
        <f aca="false">IFERROR(E23/C23,0)</f>
        <v>0</v>
      </c>
      <c r="G23" s="25" t="n">
        <f aca="false">G22+E23</f>
        <v>24034.11</v>
      </c>
      <c r="H23" s="23" t="n">
        <f aca="false">C23-'⚙ Settings'!C15</f>
        <v>0</v>
      </c>
    </row>
    <row r="24" customFormat="false" ht="19.5" hidden="false" customHeight="true" outlineLevel="0" collapsed="false">
      <c r="B24" s="26" t="s">
        <v>26</v>
      </c>
      <c r="C24" s="27" t="n">
        <f aca="false">SUMPRODUCT((MONTH('💰 Income Log'!A5:A63)=6)*('💰 Income Log'!F5:F63))</f>
        <v>0</v>
      </c>
      <c r="D24" s="27" t="n">
        <f aca="false">SUMPRODUCT((MONTH('💸 Expenses'!A5:A63)=6)*('💸 Expenses'!F5:F63))</f>
        <v>0</v>
      </c>
      <c r="E24" s="27" t="n">
        <f aca="false">C24-D24</f>
        <v>0</v>
      </c>
      <c r="F24" s="28" t="n">
        <f aca="false">IFERROR(E24/C24,0)</f>
        <v>0</v>
      </c>
      <c r="G24" s="29" t="n">
        <f aca="false">G23+E24</f>
        <v>24034.11</v>
      </c>
      <c r="H24" s="27" t="n">
        <f aca="false">C24-'⚙ Settings'!C15</f>
        <v>0</v>
      </c>
    </row>
    <row r="25" customFormat="false" ht="19.5" hidden="false" customHeight="true" outlineLevel="0" collapsed="false">
      <c r="B25" s="22" t="s">
        <v>27</v>
      </c>
      <c r="C25" s="23" t="n">
        <f aca="false">SUMPRODUCT((MONTH('💰 Income Log'!A5:A63)=7)*('💰 Income Log'!F5:F63))</f>
        <v>0</v>
      </c>
      <c r="D25" s="23" t="n">
        <f aca="false">SUMPRODUCT((MONTH('💸 Expenses'!A5:A63)=7)*('💸 Expenses'!F5:F63))</f>
        <v>0</v>
      </c>
      <c r="E25" s="23" t="n">
        <f aca="false">C25-D25</f>
        <v>0</v>
      </c>
      <c r="F25" s="24" t="n">
        <f aca="false">IFERROR(E25/C25,0)</f>
        <v>0</v>
      </c>
      <c r="G25" s="25" t="n">
        <f aca="false">G24+E25</f>
        <v>24034.11</v>
      </c>
      <c r="H25" s="23" t="n">
        <f aca="false">C25-'⚙ Settings'!C15</f>
        <v>0</v>
      </c>
    </row>
    <row r="26" customFormat="false" ht="19.5" hidden="false" customHeight="true" outlineLevel="0" collapsed="false">
      <c r="B26" s="26" t="s">
        <v>28</v>
      </c>
      <c r="C26" s="27" t="n">
        <f aca="false">SUMPRODUCT((MONTH('💰 Income Log'!A5:A63)=8)*('💰 Income Log'!F5:F63))</f>
        <v>0</v>
      </c>
      <c r="D26" s="27" t="n">
        <f aca="false">SUMPRODUCT((MONTH('💸 Expenses'!A5:A63)=8)*('💸 Expenses'!F5:F63))</f>
        <v>0</v>
      </c>
      <c r="E26" s="27" t="n">
        <f aca="false">C26-D26</f>
        <v>0</v>
      </c>
      <c r="F26" s="28" t="n">
        <f aca="false">IFERROR(E26/C26,0)</f>
        <v>0</v>
      </c>
      <c r="G26" s="29" t="n">
        <f aca="false">G25+E26</f>
        <v>24034.11</v>
      </c>
      <c r="H26" s="27" t="n">
        <f aca="false">C26-'⚙ Settings'!C15</f>
        <v>0</v>
      </c>
    </row>
    <row r="27" customFormat="false" ht="19.5" hidden="false" customHeight="true" outlineLevel="0" collapsed="false">
      <c r="B27" s="22" t="s">
        <v>29</v>
      </c>
      <c r="C27" s="23" t="n">
        <f aca="false">SUMPRODUCT((MONTH('💰 Income Log'!A5:A63)=9)*('💰 Income Log'!F5:F63))</f>
        <v>0</v>
      </c>
      <c r="D27" s="23" t="n">
        <f aca="false">SUMPRODUCT((MONTH('💸 Expenses'!A5:A63)=9)*('💸 Expenses'!F5:F63))</f>
        <v>0</v>
      </c>
      <c r="E27" s="23" t="n">
        <f aca="false">C27-D27</f>
        <v>0</v>
      </c>
      <c r="F27" s="24" t="n">
        <f aca="false">IFERROR(E27/C27,0)</f>
        <v>0</v>
      </c>
      <c r="G27" s="25" t="n">
        <f aca="false">G26+E27</f>
        <v>24034.11</v>
      </c>
      <c r="H27" s="23" t="n">
        <f aca="false">C27-'⚙ Settings'!C15</f>
        <v>0</v>
      </c>
    </row>
    <row r="28" customFormat="false" ht="19.5" hidden="false" customHeight="true" outlineLevel="0" collapsed="false">
      <c r="B28" s="26" t="s">
        <v>30</v>
      </c>
      <c r="C28" s="27" t="n">
        <f aca="false">SUMPRODUCT((MONTH('💰 Income Log'!A5:A63)=10)*('💰 Income Log'!F5:F63))</f>
        <v>0</v>
      </c>
      <c r="D28" s="27" t="n">
        <f aca="false">SUMPRODUCT((MONTH('💸 Expenses'!A5:A63)=10)*('💸 Expenses'!F5:F63))</f>
        <v>0</v>
      </c>
      <c r="E28" s="27" t="n">
        <f aca="false">C28-D28</f>
        <v>0</v>
      </c>
      <c r="F28" s="28" t="n">
        <f aca="false">IFERROR(E28/C28,0)</f>
        <v>0</v>
      </c>
      <c r="G28" s="29" t="n">
        <f aca="false">G27+E28</f>
        <v>24034.11</v>
      </c>
      <c r="H28" s="27" t="n">
        <f aca="false">C28-'⚙ Settings'!C15</f>
        <v>0</v>
      </c>
    </row>
    <row r="29" customFormat="false" ht="19.5" hidden="false" customHeight="true" outlineLevel="0" collapsed="false">
      <c r="B29" s="22" t="s">
        <v>31</v>
      </c>
      <c r="C29" s="23" t="n">
        <f aca="false">SUMPRODUCT((MONTH('💰 Income Log'!A5:A63)=11)*('💰 Income Log'!F5:F63))</f>
        <v>0</v>
      </c>
      <c r="D29" s="23" t="n">
        <f aca="false">SUMPRODUCT((MONTH('💸 Expenses'!A5:A63)=11)*('💸 Expenses'!F5:F63))</f>
        <v>0</v>
      </c>
      <c r="E29" s="23" t="n">
        <f aca="false">C29-D29</f>
        <v>0</v>
      </c>
      <c r="F29" s="24" t="n">
        <f aca="false">IFERROR(E29/C29,0)</f>
        <v>0</v>
      </c>
      <c r="G29" s="25" t="n">
        <f aca="false">G28+E29</f>
        <v>24034.11</v>
      </c>
      <c r="H29" s="23" t="n">
        <f aca="false">C29-'⚙ Settings'!C15</f>
        <v>0</v>
      </c>
    </row>
    <row r="30" customFormat="false" ht="19.5" hidden="false" customHeight="true" outlineLevel="0" collapsed="false">
      <c r="B30" s="26" t="s">
        <v>32</v>
      </c>
      <c r="C30" s="27" t="n">
        <f aca="false">SUMPRODUCT((MONTH('💰 Income Log'!A5:A63)=12)*('💰 Income Log'!F5:F63))</f>
        <v>0</v>
      </c>
      <c r="D30" s="27" t="n">
        <f aca="false">SUMPRODUCT((MONTH('💸 Expenses'!A5:A63)=12)*('💸 Expenses'!F5:F63))</f>
        <v>0</v>
      </c>
      <c r="E30" s="27" t="n">
        <f aca="false">C30-D30</f>
        <v>0</v>
      </c>
      <c r="F30" s="28" t="n">
        <f aca="false">IFERROR(E30/C30,0)</f>
        <v>0</v>
      </c>
      <c r="G30" s="29" t="n">
        <f aca="false">G29+E30</f>
        <v>24034.11</v>
      </c>
      <c r="H30" s="27" t="n">
        <f aca="false">C30-'⚙ Settings'!C15</f>
        <v>0</v>
      </c>
    </row>
    <row r="31" customFormat="false" ht="25.5" hidden="false" customHeight="true" outlineLevel="0" collapsed="false">
      <c r="B31" s="30" t="s">
        <v>33</v>
      </c>
      <c r="C31" s="31" t="n">
        <f aca="false">SUM(C19:C30)</f>
        <v>25200</v>
      </c>
      <c r="D31" s="31" t="n">
        <f aca="false">SUM(D19:D30)</f>
        <v>1165.89</v>
      </c>
      <c r="E31" s="31" t="n">
        <f aca="false">SUM(E19:E30)</f>
        <v>24034.11</v>
      </c>
      <c r="F31" s="32" t="n">
        <f aca="false">IFERROR(E31/C31,0)</f>
        <v>0.953734523809524</v>
      </c>
      <c r="G31" s="31" t="n">
        <f aca="false">G30</f>
        <v>24034.11</v>
      </c>
      <c r="H31" s="31" t="n">
        <f aca="false">SUM(H19:H30)</f>
        <v>25200</v>
      </c>
    </row>
    <row r="32" customFormat="false" ht="13.5" hidden="false" customHeight="true" outlineLevel="0" collapsed="false"/>
    <row r="33" customFormat="false" ht="24" hidden="false" customHeight="true" outlineLevel="0" collapsed="false">
      <c r="B33" s="20" t="s">
        <v>34</v>
      </c>
      <c r="C33" s="20"/>
      <c r="D33" s="20"/>
      <c r="E33" s="20"/>
      <c r="F33" s="20"/>
      <c r="G33" s="20"/>
      <c r="H33" s="20"/>
    </row>
    <row r="34" customFormat="false" ht="21.75" hidden="false" customHeight="true" outlineLevel="0" collapsed="false">
      <c r="B34" s="33" t="s">
        <v>35</v>
      </c>
      <c r="C34" s="33"/>
      <c r="D34" s="34" t="s">
        <v>36</v>
      </c>
      <c r="E34" s="34"/>
      <c r="F34" s="34"/>
      <c r="G34" s="34"/>
      <c r="H34" s="34"/>
    </row>
    <row r="35" customFormat="false" ht="21.75" hidden="false" customHeight="true" outlineLevel="0" collapsed="false">
      <c r="B35" s="33" t="s">
        <v>37</v>
      </c>
      <c r="C35" s="33"/>
      <c r="D35" s="35" t="s">
        <v>38</v>
      </c>
      <c r="E35" s="35"/>
      <c r="F35" s="35"/>
      <c r="G35" s="35"/>
      <c r="H35" s="35"/>
    </row>
    <row r="36" customFormat="false" ht="21.75" hidden="false" customHeight="true" outlineLevel="0" collapsed="false">
      <c r="B36" s="33" t="s">
        <v>39</v>
      </c>
      <c r="C36" s="33"/>
      <c r="D36" s="34" t="s">
        <v>40</v>
      </c>
      <c r="E36" s="34"/>
      <c r="F36" s="34"/>
      <c r="G36" s="34"/>
      <c r="H36" s="34"/>
    </row>
    <row r="37" customFormat="false" ht="21.75" hidden="false" customHeight="true" outlineLevel="0" collapsed="false">
      <c r="B37" s="33" t="s">
        <v>41</v>
      </c>
      <c r="C37" s="33"/>
      <c r="D37" s="35" t="s">
        <v>42</v>
      </c>
      <c r="E37" s="35"/>
      <c r="F37" s="35"/>
      <c r="G37" s="35"/>
      <c r="H37" s="35"/>
    </row>
    <row r="38" customFormat="false" ht="21.75" hidden="false" customHeight="true" outlineLevel="0" collapsed="false">
      <c r="B38" s="33" t="s">
        <v>43</v>
      </c>
      <c r="C38" s="33"/>
      <c r="D38" s="34" t="s">
        <v>44</v>
      </c>
      <c r="E38" s="34"/>
      <c r="F38" s="34"/>
      <c r="G38" s="34"/>
      <c r="H38" s="34"/>
    </row>
    <row r="39" customFormat="false" ht="21.75" hidden="false" customHeight="true" outlineLevel="0" collapsed="false">
      <c r="B39" s="33" t="s">
        <v>45</v>
      </c>
      <c r="C39" s="33"/>
      <c r="D39" s="35" t="s">
        <v>46</v>
      </c>
      <c r="E39" s="35"/>
      <c r="F39" s="35"/>
      <c r="G39" s="35"/>
      <c r="H39" s="35"/>
    </row>
    <row r="40" customFormat="false" ht="21.75" hidden="false" customHeight="true" outlineLevel="0" collapsed="false">
      <c r="B40" s="33" t="s">
        <v>47</v>
      </c>
      <c r="C40" s="33"/>
      <c r="D40" s="34" t="s">
        <v>48</v>
      </c>
      <c r="E40" s="34"/>
      <c r="F40" s="34"/>
      <c r="G40" s="34"/>
      <c r="H40" s="34"/>
    </row>
    <row r="41" customFormat="false" ht="21.75" hidden="false" customHeight="true" outlineLevel="0" collapsed="false">
      <c r="B41" s="33" t="s">
        <v>49</v>
      </c>
      <c r="C41" s="33"/>
      <c r="D41" s="35" t="s">
        <v>50</v>
      </c>
      <c r="E41" s="35"/>
      <c r="F41" s="35"/>
      <c r="G41" s="35"/>
      <c r="H41" s="35"/>
    </row>
  </sheetData>
  <mergeCells count="43">
    <mergeCell ref="A1:I3"/>
    <mergeCell ref="A4:I4"/>
    <mergeCell ref="B6:H6"/>
    <mergeCell ref="B7:C7"/>
    <mergeCell ref="D7:E7"/>
    <mergeCell ref="F7:G7"/>
    <mergeCell ref="B8:C8"/>
    <mergeCell ref="D8:E8"/>
    <mergeCell ref="F8:G8"/>
    <mergeCell ref="B10:C10"/>
    <mergeCell ref="D10:E10"/>
    <mergeCell ref="F10:G10"/>
    <mergeCell ref="H10:I10"/>
    <mergeCell ref="B11:C11"/>
    <mergeCell ref="D11:E11"/>
    <mergeCell ref="F11:G11"/>
    <mergeCell ref="H11:I11"/>
    <mergeCell ref="B13:C13"/>
    <mergeCell ref="D13:E13"/>
    <mergeCell ref="F13:G13"/>
    <mergeCell ref="H13:I13"/>
    <mergeCell ref="B14:C14"/>
    <mergeCell ref="D14:E14"/>
    <mergeCell ref="F14:G14"/>
    <mergeCell ref="H14:I14"/>
    <mergeCell ref="B17:H17"/>
    <mergeCell ref="B33:H33"/>
    <mergeCell ref="B34:C34"/>
    <mergeCell ref="D34:H34"/>
    <mergeCell ref="B35:C35"/>
    <mergeCell ref="D35:H35"/>
    <mergeCell ref="B36:C36"/>
    <mergeCell ref="D36:H36"/>
    <mergeCell ref="B37:C37"/>
    <mergeCell ref="D37:H37"/>
    <mergeCell ref="B38:C38"/>
    <mergeCell ref="D38:H38"/>
    <mergeCell ref="B39:C39"/>
    <mergeCell ref="D39:H39"/>
    <mergeCell ref="B40:C40"/>
    <mergeCell ref="D40:H40"/>
    <mergeCell ref="B41:C41"/>
    <mergeCell ref="D41:H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057"/>
    <pageSetUpPr fitToPage="fals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3" min="3" style="1" width="24"/>
    <col collapsed="false" customWidth="true" hidden="false" outlineLevel="0" max="4" min="4" style="1" width="2"/>
  </cols>
  <sheetData>
    <row r="1" customFormat="false" ht="21.75" hidden="false" customHeight="true" outlineLevel="0" collapsed="false">
      <c r="A1" s="36" t="s">
        <v>51</v>
      </c>
      <c r="B1" s="36"/>
      <c r="C1" s="36"/>
      <c r="D1" s="36"/>
    </row>
    <row r="2" customFormat="false" ht="21.75" hidden="false" customHeight="true" outlineLevel="0" collapsed="false">
      <c r="A2" s="36"/>
      <c r="B2" s="36"/>
      <c r="C2" s="36"/>
      <c r="D2" s="36"/>
    </row>
    <row r="3" customFormat="false" ht="18" hidden="false" customHeight="true" outlineLevel="0" collapsed="false">
      <c r="A3" s="37" t="s">
        <v>52</v>
      </c>
      <c r="B3" s="37"/>
      <c r="C3" s="37"/>
      <c r="D3" s="37"/>
    </row>
    <row r="4" customFormat="false" ht="24" hidden="false" customHeight="true" outlineLevel="0" collapsed="false">
      <c r="B4" s="38" t="s">
        <v>53</v>
      </c>
      <c r="C4" s="38"/>
    </row>
    <row r="5" customFormat="false" ht="21.75" hidden="false" customHeight="true" outlineLevel="0" collapsed="false">
      <c r="B5" s="39" t="s">
        <v>54</v>
      </c>
      <c r="C5" s="40" t="s">
        <v>55</v>
      </c>
    </row>
    <row r="6" customFormat="false" ht="21.75" hidden="false" customHeight="true" outlineLevel="0" collapsed="false">
      <c r="B6" s="39" t="s">
        <v>56</v>
      </c>
      <c r="C6" s="40" t="s">
        <v>57</v>
      </c>
    </row>
    <row r="7" customFormat="false" ht="21.75" hidden="false" customHeight="true" outlineLevel="0" collapsed="false">
      <c r="B7" s="39" t="s">
        <v>58</v>
      </c>
      <c r="C7" s="41" t="n">
        <v>2026</v>
      </c>
    </row>
    <row r="8" customFormat="false" ht="21.75" hidden="false" customHeight="true" outlineLevel="0" collapsed="false">
      <c r="B8" s="39" t="s">
        <v>59</v>
      </c>
      <c r="C8" s="40" t="s">
        <v>60</v>
      </c>
    </row>
    <row r="9" customFormat="false" ht="7.5" hidden="false" customHeight="true" outlineLevel="0" collapsed="false"/>
    <row r="10" customFormat="false" ht="24" hidden="false" customHeight="true" outlineLevel="0" collapsed="false">
      <c r="B10" s="38" t="s">
        <v>61</v>
      </c>
      <c r="C10" s="38"/>
    </row>
    <row r="11" customFormat="false" ht="21.75" hidden="false" customHeight="true" outlineLevel="0" collapsed="false">
      <c r="B11" s="39" t="s">
        <v>62</v>
      </c>
      <c r="C11" s="42" t="n">
        <v>0.22</v>
      </c>
    </row>
    <row r="12" customFormat="false" ht="21.75" hidden="false" customHeight="true" outlineLevel="0" collapsed="false">
      <c r="B12" s="39" t="s">
        <v>63</v>
      </c>
      <c r="C12" s="42" t="n">
        <v>0.08</v>
      </c>
    </row>
    <row r="13" customFormat="false" ht="21.75" hidden="false" customHeight="true" outlineLevel="0" collapsed="false">
      <c r="B13" s="39" t="s">
        <v>64</v>
      </c>
      <c r="C13" s="42" t="n">
        <v>0.153</v>
      </c>
    </row>
    <row r="14" customFormat="false" ht="21.75" hidden="false" customHeight="true" outlineLevel="0" collapsed="false">
      <c r="B14" s="39" t="s">
        <v>65</v>
      </c>
      <c r="C14" s="42" t="n">
        <v>0.3</v>
      </c>
    </row>
    <row r="15" customFormat="false" ht="7.5" hidden="false" customHeight="true" outlineLevel="0" collapsed="false"/>
    <row r="16" customFormat="false" ht="24" hidden="false" customHeight="true" outlineLevel="0" collapsed="false">
      <c r="B16" s="38" t="s">
        <v>66</v>
      </c>
      <c r="C16" s="38"/>
    </row>
    <row r="17" customFormat="false" ht="21.75" hidden="false" customHeight="true" outlineLevel="0" collapsed="false">
      <c r="B17" s="39" t="s">
        <v>67</v>
      </c>
      <c r="C17" s="41" t="n">
        <v>10000</v>
      </c>
    </row>
    <row r="18" customFormat="false" ht="21.75" hidden="false" customHeight="true" outlineLevel="0" collapsed="false">
      <c r="B18" s="39" t="s">
        <v>68</v>
      </c>
      <c r="C18" s="41" t="n">
        <v>2500</v>
      </c>
    </row>
    <row r="19" customFormat="false" ht="21.75" hidden="false" customHeight="true" outlineLevel="0" collapsed="false">
      <c r="B19" s="39" t="s">
        <v>69</v>
      </c>
      <c r="C19" s="41" t="n">
        <v>72000</v>
      </c>
    </row>
    <row r="20" customFormat="false" ht="21.75" hidden="false" customHeight="true" outlineLevel="0" collapsed="false">
      <c r="B20" s="39" t="s">
        <v>70</v>
      </c>
      <c r="C20" s="40" t="n">
        <v>30</v>
      </c>
    </row>
    <row r="21" customFormat="false" ht="7.5" hidden="false" customHeight="true" outlineLevel="0" collapsed="false"/>
    <row r="22" customFormat="false" ht="24" hidden="false" customHeight="true" outlineLevel="0" collapsed="false">
      <c r="B22" s="38" t="s">
        <v>71</v>
      </c>
      <c r="C22" s="38"/>
    </row>
    <row r="23" customFormat="false" ht="21.75" hidden="false" customHeight="true" outlineLevel="0" collapsed="false">
      <c r="B23" s="39" t="s">
        <v>72</v>
      </c>
      <c r="C23" s="40" t="n">
        <v>30</v>
      </c>
    </row>
    <row r="24" customFormat="false" ht="21.75" hidden="false" customHeight="true" outlineLevel="0" collapsed="false">
      <c r="B24" s="39" t="s">
        <v>73</v>
      </c>
      <c r="C24" s="41" t="n">
        <v>600</v>
      </c>
    </row>
    <row r="25" customFormat="false" ht="7.5" hidden="false" customHeight="true" outlineLevel="0" collapsed="false"/>
    <row r="26" customFormat="false" ht="24" hidden="false" customHeight="true" outlineLevel="0" collapsed="false">
      <c r="B26" s="38" t="s">
        <v>74</v>
      </c>
      <c r="C26" s="38"/>
    </row>
    <row r="27" customFormat="false" ht="21.75" hidden="false" customHeight="true" outlineLevel="0" collapsed="false">
      <c r="B27" s="39" t="s">
        <v>75</v>
      </c>
      <c r="C27" s="41" t="n">
        <v>200</v>
      </c>
    </row>
    <row r="28" customFormat="false" ht="21.75" hidden="false" customHeight="true" outlineLevel="0" collapsed="false">
      <c r="B28" s="39" t="s">
        <v>76</v>
      </c>
      <c r="C28" s="41" t="n">
        <v>1200</v>
      </c>
    </row>
    <row r="29" customFormat="false" ht="21.75" hidden="false" customHeight="true" outlineLevel="0" collapsed="false">
      <c r="B29" s="39" t="s">
        <v>77</v>
      </c>
      <c r="C29" s="41" t="n">
        <v>2500</v>
      </c>
    </row>
    <row r="30" customFormat="false" ht="21.75" hidden="false" customHeight="true" outlineLevel="0" collapsed="false">
      <c r="B30" s="39" t="s">
        <v>78</v>
      </c>
      <c r="C30" s="41" t="n">
        <v>150</v>
      </c>
    </row>
  </sheetData>
  <mergeCells count="7">
    <mergeCell ref="A1:D2"/>
    <mergeCell ref="A3:D3"/>
    <mergeCell ref="B4:C4"/>
    <mergeCell ref="B10:C10"/>
    <mergeCell ref="B16:C16"/>
    <mergeCell ref="B22:C22"/>
    <mergeCell ref="B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7377"/>
    <pageSetUpPr fitToPage="false"/>
  </sheetPr>
  <dimension ref="A1:I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4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5"/>
    <col collapsed="false" customWidth="true" hidden="false" outlineLevel="0" max="9" min="7" style="1" width="16"/>
  </cols>
  <sheetData>
    <row r="1" customFormat="false" ht="21.75" hidden="false" customHeight="true" outlineLevel="0" collapsed="false">
      <c r="A1" s="36" t="s">
        <v>79</v>
      </c>
      <c r="B1" s="36"/>
      <c r="C1" s="36"/>
      <c r="D1" s="36"/>
      <c r="E1" s="36"/>
      <c r="F1" s="36"/>
      <c r="G1" s="36"/>
      <c r="H1" s="36"/>
      <c r="I1" s="36"/>
    </row>
    <row r="2" customFormat="false" ht="21.75" hidden="false" customHeight="true" outlineLevel="0" collapsed="false">
      <c r="A2" s="36"/>
      <c r="B2" s="36"/>
      <c r="C2" s="36"/>
      <c r="D2" s="36"/>
      <c r="E2" s="36"/>
      <c r="F2" s="36"/>
      <c r="G2" s="36"/>
      <c r="H2" s="36"/>
      <c r="I2" s="36"/>
    </row>
    <row r="3" customFormat="false" ht="18" hidden="false" customHeight="true" outlineLevel="0" collapsed="false">
      <c r="A3" s="37" t="s">
        <v>80</v>
      </c>
      <c r="B3" s="37"/>
      <c r="C3" s="37"/>
      <c r="D3" s="37"/>
      <c r="E3" s="37"/>
      <c r="F3" s="37"/>
      <c r="G3" s="37"/>
      <c r="H3" s="37"/>
      <c r="I3" s="37"/>
    </row>
    <row r="4" customFormat="false" ht="25.5" hidden="false" customHeight="true" outlineLevel="0" collapsed="false">
      <c r="A4" s="43" t="s">
        <v>81</v>
      </c>
      <c r="B4" s="43" t="s">
        <v>82</v>
      </c>
      <c r="C4" s="43" t="s">
        <v>83</v>
      </c>
      <c r="D4" s="43" t="s">
        <v>84</v>
      </c>
      <c r="E4" s="43" t="s">
        <v>85</v>
      </c>
      <c r="F4" s="43" t="s">
        <v>86</v>
      </c>
      <c r="G4" s="43" t="s">
        <v>87</v>
      </c>
      <c r="H4" s="43" t="s">
        <v>88</v>
      </c>
      <c r="I4" s="43" t="s">
        <v>89</v>
      </c>
    </row>
    <row r="5" customFormat="false" ht="19.5" hidden="false" customHeight="true" outlineLevel="0" collapsed="false">
      <c r="A5" s="44" t="s">
        <v>90</v>
      </c>
      <c r="B5" s="45" t="s">
        <v>91</v>
      </c>
      <c r="C5" s="45" t="s">
        <v>92</v>
      </c>
      <c r="D5" s="46" t="s">
        <v>93</v>
      </c>
      <c r="E5" s="47" t="s">
        <v>94</v>
      </c>
      <c r="F5" s="48" t="n">
        <v>3500</v>
      </c>
      <c r="G5" s="49" t="n">
        <f aca="false">F5*'⚙ Settings'!C13</f>
        <v>535.5</v>
      </c>
      <c r="H5" s="46" t="s">
        <v>95</v>
      </c>
      <c r="I5" s="47"/>
    </row>
    <row r="6" customFormat="false" ht="19.5" hidden="false" customHeight="true" outlineLevel="0" collapsed="false">
      <c r="A6" s="44" t="s">
        <v>96</v>
      </c>
      <c r="B6" s="45" t="s">
        <v>97</v>
      </c>
      <c r="C6" s="45" t="s">
        <v>98</v>
      </c>
      <c r="D6" s="46" t="s">
        <v>99</v>
      </c>
      <c r="E6" s="50" t="s">
        <v>100</v>
      </c>
      <c r="F6" s="48" t="n">
        <v>5000</v>
      </c>
      <c r="G6" s="49" t="n">
        <f aca="false">F6*'⚙ Settings'!C13</f>
        <v>765</v>
      </c>
      <c r="H6" s="46" t="s">
        <v>101</v>
      </c>
      <c r="I6" s="50" t="s">
        <v>102</v>
      </c>
    </row>
    <row r="7" customFormat="false" ht="19.5" hidden="false" customHeight="true" outlineLevel="0" collapsed="false">
      <c r="A7" s="44" t="s">
        <v>103</v>
      </c>
      <c r="B7" s="45" t="s">
        <v>104</v>
      </c>
      <c r="C7" s="45" t="s">
        <v>105</v>
      </c>
      <c r="D7" s="46" t="s">
        <v>106</v>
      </c>
      <c r="E7" s="47" t="s">
        <v>107</v>
      </c>
      <c r="F7" s="48" t="n">
        <v>1200</v>
      </c>
      <c r="G7" s="49" t="n">
        <f aca="false">F7*'⚙ Settings'!C13</f>
        <v>183.6</v>
      </c>
      <c r="H7" s="46" t="s">
        <v>108</v>
      </c>
      <c r="I7" s="47"/>
    </row>
    <row r="8" customFormat="false" ht="19.5" hidden="false" customHeight="true" outlineLevel="0" collapsed="false">
      <c r="A8" s="44" t="s">
        <v>109</v>
      </c>
      <c r="B8" s="45" t="s">
        <v>91</v>
      </c>
      <c r="C8" s="45" t="s">
        <v>110</v>
      </c>
      <c r="D8" s="46" t="s">
        <v>93</v>
      </c>
      <c r="E8" s="50" t="s">
        <v>111</v>
      </c>
      <c r="F8" s="48" t="n">
        <v>800</v>
      </c>
      <c r="G8" s="49" t="n">
        <f aca="false">F8*'⚙ Settings'!C13</f>
        <v>122.4</v>
      </c>
      <c r="H8" s="46" t="s">
        <v>95</v>
      </c>
      <c r="I8" s="50"/>
    </row>
    <row r="9" customFormat="false" ht="19.5" hidden="false" customHeight="true" outlineLevel="0" collapsed="false">
      <c r="A9" s="44" t="s">
        <v>112</v>
      </c>
      <c r="B9" s="45" t="s">
        <v>113</v>
      </c>
      <c r="C9" s="45" t="s">
        <v>114</v>
      </c>
      <c r="D9" s="46" t="s">
        <v>106</v>
      </c>
      <c r="E9" s="47" t="s">
        <v>115</v>
      </c>
      <c r="F9" s="48" t="n">
        <v>2200</v>
      </c>
      <c r="G9" s="49" t="n">
        <f aca="false">F9*'⚙ Settings'!C13</f>
        <v>336.6</v>
      </c>
      <c r="H9" s="46" t="s">
        <v>116</v>
      </c>
      <c r="I9" s="47"/>
    </row>
    <row r="10" customFormat="false" ht="19.5" hidden="false" customHeight="true" outlineLevel="0" collapsed="false">
      <c r="A10" s="44" t="s">
        <v>117</v>
      </c>
      <c r="B10" s="45" t="s">
        <v>97</v>
      </c>
      <c r="C10" s="45" t="s">
        <v>118</v>
      </c>
      <c r="D10" s="46" t="s">
        <v>99</v>
      </c>
      <c r="E10" s="50" t="s">
        <v>119</v>
      </c>
      <c r="F10" s="48" t="n">
        <v>5000</v>
      </c>
      <c r="G10" s="49" t="n">
        <f aca="false">F10*'⚙ Settings'!C13</f>
        <v>765</v>
      </c>
      <c r="H10" s="46" t="s">
        <v>101</v>
      </c>
      <c r="I10" s="50" t="s">
        <v>120</v>
      </c>
    </row>
    <row r="11" customFormat="false" ht="19.5" hidden="false" customHeight="true" outlineLevel="0" collapsed="false">
      <c r="A11" s="44" t="s">
        <v>121</v>
      </c>
      <c r="B11" s="45" t="s">
        <v>122</v>
      </c>
      <c r="C11" s="45" t="s">
        <v>123</v>
      </c>
      <c r="D11" s="46" t="s">
        <v>124</v>
      </c>
      <c r="E11" s="47" t="s">
        <v>125</v>
      </c>
      <c r="F11" s="48" t="n">
        <v>1800</v>
      </c>
      <c r="G11" s="49" t="n">
        <f aca="false">F11*'⚙ Settings'!C13</f>
        <v>275.4</v>
      </c>
      <c r="H11" s="46" t="s">
        <v>95</v>
      </c>
      <c r="I11" s="47"/>
    </row>
    <row r="12" customFormat="false" ht="19.5" hidden="false" customHeight="true" outlineLevel="0" collapsed="false">
      <c r="A12" s="44" t="s">
        <v>126</v>
      </c>
      <c r="B12" s="45" t="s">
        <v>104</v>
      </c>
      <c r="C12" s="45" t="s">
        <v>127</v>
      </c>
      <c r="D12" s="46" t="s">
        <v>106</v>
      </c>
      <c r="E12" s="50" t="s">
        <v>128</v>
      </c>
      <c r="F12" s="48" t="n">
        <v>1200</v>
      </c>
      <c r="G12" s="49" t="n">
        <f aca="false">F12*'⚙ Settings'!C13</f>
        <v>183.6</v>
      </c>
      <c r="H12" s="46" t="s">
        <v>108</v>
      </c>
      <c r="I12" s="50"/>
    </row>
    <row r="13" customFormat="false" ht="19.5" hidden="false" customHeight="true" outlineLevel="0" collapsed="false">
      <c r="A13" s="44" t="s">
        <v>129</v>
      </c>
      <c r="B13" s="45" t="s">
        <v>130</v>
      </c>
      <c r="C13" s="45" t="s">
        <v>131</v>
      </c>
      <c r="D13" s="46" t="s">
        <v>132</v>
      </c>
      <c r="E13" s="47" t="s">
        <v>133</v>
      </c>
      <c r="F13" s="48" t="n">
        <v>4500</v>
      </c>
      <c r="G13" s="49" t="n">
        <f aca="false">F13*'⚙ Settings'!C13</f>
        <v>688.5</v>
      </c>
      <c r="H13" s="46" t="s">
        <v>116</v>
      </c>
      <c r="I13" s="47"/>
    </row>
    <row r="14" customFormat="false" ht="19.5" hidden="false" customHeight="true" outlineLevel="0" collapsed="false">
      <c r="A14" s="51"/>
      <c r="B14" s="52"/>
      <c r="C14" s="52"/>
      <c r="D14" s="53"/>
      <c r="E14" s="54"/>
      <c r="F14" s="55"/>
      <c r="G14" s="49" t="str">
        <f aca="false">IF(F14="","",F14*'⚙ Settings'!C13)</f>
        <v/>
      </c>
      <c r="H14" s="53"/>
      <c r="I14" s="54"/>
    </row>
    <row r="15" customFormat="false" ht="19.5" hidden="false" customHeight="true" outlineLevel="0" collapsed="false">
      <c r="A15" s="51"/>
      <c r="B15" s="52"/>
      <c r="C15" s="52"/>
      <c r="D15" s="53"/>
      <c r="E15" s="56"/>
      <c r="F15" s="55"/>
      <c r="G15" s="49" t="str">
        <f aca="false">IF(F15="","",F15*'⚙ Settings'!C13)</f>
        <v/>
      </c>
      <c r="H15" s="53"/>
      <c r="I15" s="56"/>
    </row>
    <row r="16" customFormat="false" ht="19.5" hidden="false" customHeight="true" outlineLevel="0" collapsed="false">
      <c r="A16" s="51"/>
      <c r="B16" s="52"/>
      <c r="C16" s="52"/>
      <c r="D16" s="53"/>
      <c r="E16" s="54"/>
      <c r="F16" s="55"/>
      <c r="G16" s="49" t="str">
        <f aca="false">IF(F16="","",F16*'⚙ Settings'!C13)</f>
        <v/>
      </c>
      <c r="H16" s="53"/>
      <c r="I16" s="54"/>
    </row>
    <row r="17" customFormat="false" ht="19.5" hidden="false" customHeight="true" outlineLevel="0" collapsed="false">
      <c r="A17" s="51"/>
      <c r="B17" s="52"/>
      <c r="C17" s="52"/>
      <c r="D17" s="53"/>
      <c r="E17" s="56"/>
      <c r="F17" s="55"/>
      <c r="G17" s="49" t="str">
        <f aca="false">IF(F17="","",F17*'⚙ Settings'!C13)</f>
        <v/>
      </c>
      <c r="H17" s="53"/>
      <c r="I17" s="56"/>
    </row>
    <row r="18" customFormat="false" ht="19.5" hidden="false" customHeight="true" outlineLevel="0" collapsed="false">
      <c r="A18" s="51"/>
      <c r="B18" s="52"/>
      <c r="C18" s="52"/>
      <c r="D18" s="53"/>
      <c r="E18" s="54"/>
      <c r="F18" s="55"/>
      <c r="G18" s="49" t="str">
        <f aca="false">IF(F18="","",F18*'⚙ Settings'!C13)</f>
        <v/>
      </c>
      <c r="H18" s="53"/>
      <c r="I18" s="54"/>
    </row>
    <row r="19" customFormat="false" ht="19.5" hidden="false" customHeight="true" outlineLevel="0" collapsed="false">
      <c r="A19" s="51"/>
      <c r="B19" s="52"/>
      <c r="C19" s="52"/>
      <c r="D19" s="53"/>
      <c r="E19" s="56"/>
      <c r="F19" s="55"/>
      <c r="G19" s="49" t="str">
        <f aca="false">IF(F19="","",F19*'⚙ Settings'!C13)</f>
        <v/>
      </c>
      <c r="H19" s="53"/>
      <c r="I19" s="56"/>
    </row>
    <row r="20" customFormat="false" ht="19.5" hidden="false" customHeight="true" outlineLevel="0" collapsed="false">
      <c r="A20" s="51"/>
      <c r="B20" s="52"/>
      <c r="C20" s="52"/>
      <c r="D20" s="53"/>
      <c r="E20" s="54"/>
      <c r="F20" s="55"/>
      <c r="G20" s="49" t="str">
        <f aca="false">IF(F20="","",F20*'⚙ Settings'!C13)</f>
        <v/>
      </c>
      <c r="H20" s="53"/>
      <c r="I20" s="54"/>
    </row>
    <row r="21" customFormat="false" ht="19.5" hidden="false" customHeight="true" outlineLevel="0" collapsed="false">
      <c r="A21" s="51"/>
      <c r="B21" s="52"/>
      <c r="C21" s="52"/>
      <c r="D21" s="53"/>
      <c r="E21" s="56"/>
      <c r="F21" s="55"/>
      <c r="G21" s="49" t="str">
        <f aca="false">IF(F21="","",F21*'⚙ Settings'!C13)</f>
        <v/>
      </c>
      <c r="H21" s="53"/>
      <c r="I21" s="56"/>
    </row>
    <row r="22" customFormat="false" ht="19.5" hidden="false" customHeight="true" outlineLevel="0" collapsed="false">
      <c r="A22" s="51"/>
      <c r="B22" s="52"/>
      <c r="C22" s="52"/>
      <c r="D22" s="53"/>
      <c r="E22" s="54"/>
      <c r="F22" s="55"/>
      <c r="G22" s="49" t="str">
        <f aca="false">IF(F22="","",F22*'⚙ Settings'!C13)</f>
        <v/>
      </c>
      <c r="H22" s="53"/>
      <c r="I22" s="54"/>
    </row>
    <row r="23" customFormat="false" ht="19.5" hidden="false" customHeight="true" outlineLevel="0" collapsed="false">
      <c r="A23" s="51"/>
      <c r="B23" s="52"/>
      <c r="C23" s="52"/>
      <c r="D23" s="53"/>
      <c r="E23" s="56"/>
      <c r="F23" s="55"/>
      <c r="G23" s="49" t="str">
        <f aca="false">IF(F23="","",F23*'⚙ Settings'!C13)</f>
        <v/>
      </c>
      <c r="H23" s="53"/>
      <c r="I23" s="56"/>
    </row>
    <row r="24" customFormat="false" ht="19.5" hidden="false" customHeight="true" outlineLevel="0" collapsed="false">
      <c r="A24" s="51"/>
      <c r="B24" s="52"/>
      <c r="C24" s="52"/>
      <c r="D24" s="53"/>
      <c r="E24" s="54"/>
      <c r="F24" s="55"/>
      <c r="G24" s="49" t="str">
        <f aca="false">IF(F24="","",F24*'⚙ Settings'!C13)</f>
        <v/>
      </c>
      <c r="H24" s="53"/>
      <c r="I24" s="54"/>
    </row>
    <row r="25" customFormat="false" ht="19.5" hidden="false" customHeight="true" outlineLevel="0" collapsed="false">
      <c r="A25" s="51"/>
      <c r="B25" s="52"/>
      <c r="C25" s="52"/>
      <c r="D25" s="53"/>
      <c r="E25" s="56"/>
      <c r="F25" s="55"/>
      <c r="G25" s="49" t="str">
        <f aca="false">IF(F25="","",F25*'⚙ Settings'!C13)</f>
        <v/>
      </c>
      <c r="H25" s="53"/>
      <c r="I25" s="56"/>
    </row>
    <row r="26" customFormat="false" ht="19.5" hidden="false" customHeight="true" outlineLevel="0" collapsed="false">
      <c r="A26" s="51"/>
      <c r="B26" s="52"/>
      <c r="C26" s="52"/>
      <c r="D26" s="53"/>
      <c r="E26" s="54"/>
      <c r="F26" s="55"/>
      <c r="G26" s="49" t="str">
        <f aca="false">IF(F26="","",F26*'⚙ Settings'!C13)</f>
        <v/>
      </c>
      <c r="H26" s="53"/>
      <c r="I26" s="54"/>
    </row>
    <row r="27" customFormat="false" ht="19.5" hidden="false" customHeight="true" outlineLevel="0" collapsed="false">
      <c r="A27" s="51"/>
      <c r="B27" s="52"/>
      <c r="C27" s="52"/>
      <c r="D27" s="53"/>
      <c r="E27" s="56"/>
      <c r="F27" s="55"/>
      <c r="G27" s="49" t="str">
        <f aca="false">IF(F27="","",F27*'⚙ Settings'!C13)</f>
        <v/>
      </c>
      <c r="H27" s="53"/>
      <c r="I27" s="56"/>
    </row>
    <row r="28" customFormat="false" ht="19.5" hidden="false" customHeight="true" outlineLevel="0" collapsed="false">
      <c r="A28" s="51"/>
      <c r="B28" s="52"/>
      <c r="C28" s="52"/>
      <c r="D28" s="53"/>
      <c r="E28" s="54"/>
      <c r="F28" s="55"/>
      <c r="G28" s="49" t="str">
        <f aca="false">IF(F28="","",F28*'⚙ Settings'!C13)</f>
        <v/>
      </c>
      <c r="H28" s="53"/>
      <c r="I28" s="54"/>
    </row>
    <row r="29" customFormat="false" ht="19.5" hidden="false" customHeight="true" outlineLevel="0" collapsed="false">
      <c r="A29" s="51"/>
      <c r="B29" s="52"/>
      <c r="C29" s="52"/>
      <c r="D29" s="53"/>
      <c r="E29" s="56"/>
      <c r="F29" s="55"/>
      <c r="G29" s="49" t="str">
        <f aca="false">IF(F29="","",F29*'⚙ Settings'!C13)</f>
        <v/>
      </c>
      <c r="H29" s="53"/>
      <c r="I29" s="56"/>
    </row>
    <row r="30" customFormat="false" ht="19.5" hidden="false" customHeight="true" outlineLevel="0" collapsed="false">
      <c r="A30" s="51"/>
      <c r="B30" s="52"/>
      <c r="C30" s="52"/>
      <c r="D30" s="53"/>
      <c r="E30" s="54"/>
      <c r="F30" s="55"/>
      <c r="G30" s="49" t="str">
        <f aca="false">IF(F30="","",F30*'⚙ Settings'!C13)</f>
        <v/>
      </c>
      <c r="H30" s="53"/>
      <c r="I30" s="54"/>
    </row>
    <row r="31" customFormat="false" ht="19.5" hidden="false" customHeight="true" outlineLevel="0" collapsed="false">
      <c r="A31" s="51"/>
      <c r="B31" s="52"/>
      <c r="C31" s="52"/>
      <c r="D31" s="53"/>
      <c r="E31" s="56"/>
      <c r="F31" s="55"/>
      <c r="G31" s="49" t="str">
        <f aca="false">IF(F31="","",F31*'⚙ Settings'!C13)</f>
        <v/>
      </c>
      <c r="H31" s="53"/>
      <c r="I31" s="56"/>
    </row>
    <row r="32" customFormat="false" ht="19.5" hidden="false" customHeight="true" outlineLevel="0" collapsed="false">
      <c r="A32" s="51"/>
      <c r="B32" s="52"/>
      <c r="C32" s="52"/>
      <c r="D32" s="53"/>
      <c r="E32" s="54"/>
      <c r="F32" s="55"/>
      <c r="G32" s="49" t="str">
        <f aca="false">IF(F32="","",F32*'⚙ Settings'!C13)</f>
        <v/>
      </c>
      <c r="H32" s="53"/>
      <c r="I32" s="54"/>
    </row>
    <row r="33" customFormat="false" ht="19.5" hidden="false" customHeight="true" outlineLevel="0" collapsed="false">
      <c r="A33" s="51"/>
      <c r="B33" s="52"/>
      <c r="C33" s="52"/>
      <c r="D33" s="53"/>
      <c r="E33" s="56"/>
      <c r="F33" s="55"/>
      <c r="G33" s="49" t="str">
        <f aca="false">IF(F33="","",F33*'⚙ Settings'!C13)</f>
        <v/>
      </c>
      <c r="H33" s="53"/>
      <c r="I33" s="56"/>
    </row>
    <row r="34" customFormat="false" ht="19.5" hidden="false" customHeight="true" outlineLevel="0" collapsed="false">
      <c r="A34" s="51"/>
      <c r="B34" s="52"/>
      <c r="C34" s="52"/>
      <c r="D34" s="53"/>
      <c r="E34" s="54"/>
      <c r="F34" s="55"/>
      <c r="G34" s="49" t="str">
        <f aca="false">IF(F34="","",F34*'⚙ Settings'!C13)</f>
        <v/>
      </c>
      <c r="H34" s="53"/>
      <c r="I34" s="54"/>
    </row>
    <row r="35" customFormat="false" ht="19.5" hidden="false" customHeight="true" outlineLevel="0" collapsed="false">
      <c r="A35" s="51"/>
      <c r="B35" s="52"/>
      <c r="C35" s="52"/>
      <c r="D35" s="53"/>
      <c r="E35" s="56"/>
      <c r="F35" s="55"/>
      <c r="G35" s="49" t="str">
        <f aca="false">IF(F35="","",F35*'⚙ Settings'!C13)</f>
        <v/>
      </c>
      <c r="H35" s="53"/>
      <c r="I35" s="56"/>
    </row>
    <row r="36" customFormat="false" ht="19.5" hidden="false" customHeight="true" outlineLevel="0" collapsed="false">
      <c r="A36" s="51"/>
      <c r="B36" s="52"/>
      <c r="C36" s="52"/>
      <c r="D36" s="53"/>
      <c r="E36" s="54"/>
      <c r="F36" s="55"/>
      <c r="G36" s="49" t="str">
        <f aca="false">IF(F36="","",F36*'⚙ Settings'!C13)</f>
        <v/>
      </c>
      <c r="H36" s="53"/>
      <c r="I36" s="54"/>
    </row>
    <row r="37" customFormat="false" ht="19.5" hidden="false" customHeight="true" outlineLevel="0" collapsed="false">
      <c r="A37" s="51"/>
      <c r="B37" s="52"/>
      <c r="C37" s="52"/>
      <c r="D37" s="53"/>
      <c r="E37" s="56"/>
      <c r="F37" s="55"/>
      <c r="G37" s="49" t="str">
        <f aca="false">IF(F37="","",F37*'⚙ Settings'!C13)</f>
        <v/>
      </c>
      <c r="H37" s="53"/>
      <c r="I37" s="56"/>
    </row>
    <row r="38" customFormat="false" ht="19.5" hidden="false" customHeight="true" outlineLevel="0" collapsed="false">
      <c r="A38" s="51"/>
      <c r="B38" s="52"/>
      <c r="C38" s="52"/>
      <c r="D38" s="53"/>
      <c r="E38" s="54"/>
      <c r="F38" s="55"/>
      <c r="G38" s="49" t="str">
        <f aca="false">IF(F38="","",F38*'⚙ Settings'!C13)</f>
        <v/>
      </c>
      <c r="H38" s="53"/>
      <c r="I38" s="54"/>
    </row>
    <row r="39" customFormat="false" ht="19.5" hidden="false" customHeight="true" outlineLevel="0" collapsed="false">
      <c r="A39" s="51"/>
      <c r="B39" s="52"/>
      <c r="C39" s="52"/>
      <c r="D39" s="53"/>
      <c r="E39" s="56"/>
      <c r="F39" s="55"/>
      <c r="G39" s="49" t="str">
        <f aca="false">IF(F39="","",F39*'⚙ Settings'!C13)</f>
        <v/>
      </c>
      <c r="H39" s="53"/>
      <c r="I39" s="56"/>
    </row>
    <row r="40" customFormat="false" ht="19.5" hidden="false" customHeight="true" outlineLevel="0" collapsed="false">
      <c r="A40" s="51"/>
      <c r="B40" s="52"/>
      <c r="C40" s="52"/>
      <c r="D40" s="53"/>
      <c r="E40" s="54"/>
      <c r="F40" s="55"/>
      <c r="G40" s="49" t="str">
        <f aca="false">IF(F40="","",F40*'⚙ Settings'!C13)</f>
        <v/>
      </c>
      <c r="H40" s="53"/>
      <c r="I40" s="54"/>
    </row>
    <row r="41" customFormat="false" ht="19.5" hidden="false" customHeight="true" outlineLevel="0" collapsed="false">
      <c r="A41" s="51"/>
      <c r="B41" s="52"/>
      <c r="C41" s="52"/>
      <c r="D41" s="53"/>
      <c r="E41" s="56"/>
      <c r="F41" s="55"/>
      <c r="G41" s="49" t="str">
        <f aca="false">IF(F41="","",F41*'⚙ Settings'!C13)</f>
        <v/>
      </c>
      <c r="H41" s="53"/>
      <c r="I41" s="56"/>
    </row>
    <row r="42" customFormat="false" ht="19.5" hidden="false" customHeight="true" outlineLevel="0" collapsed="false">
      <c r="A42" s="51"/>
      <c r="B42" s="52"/>
      <c r="C42" s="52"/>
      <c r="D42" s="53"/>
      <c r="E42" s="54"/>
      <c r="F42" s="55"/>
      <c r="G42" s="49" t="str">
        <f aca="false">IF(F42="","",F42*'⚙ Settings'!C13)</f>
        <v/>
      </c>
      <c r="H42" s="53"/>
      <c r="I42" s="54"/>
    </row>
    <row r="43" customFormat="false" ht="19.5" hidden="false" customHeight="true" outlineLevel="0" collapsed="false">
      <c r="A43" s="51"/>
      <c r="B43" s="52"/>
      <c r="C43" s="52"/>
      <c r="D43" s="53"/>
      <c r="E43" s="56"/>
      <c r="F43" s="55"/>
      <c r="G43" s="49" t="str">
        <f aca="false">IF(F43="","",F43*'⚙ Settings'!C13)</f>
        <v/>
      </c>
      <c r="H43" s="53"/>
      <c r="I43" s="56"/>
    </row>
    <row r="44" customFormat="false" ht="19.5" hidden="false" customHeight="true" outlineLevel="0" collapsed="false">
      <c r="A44" s="51"/>
      <c r="B44" s="52"/>
      <c r="C44" s="52"/>
      <c r="D44" s="53"/>
      <c r="E44" s="54"/>
      <c r="F44" s="55"/>
      <c r="G44" s="49" t="str">
        <f aca="false">IF(F44="","",F44*'⚙ Settings'!C13)</f>
        <v/>
      </c>
      <c r="H44" s="53"/>
      <c r="I44" s="54"/>
    </row>
    <row r="45" customFormat="false" ht="19.5" hidden="false" customHeight="true" outlineLevel="0" collapsed="false">
      <c r="A45" s="51"/>
      <c r="B45" s="52"/>
      <c r="C45" s="52"/>
      <c r="D45" s="53"/>
      <c r="E45" s="56"/>
      <c r="F45" s="55"/>
      <c r="G45" s="49" t="str">
        <f aca="false">IF(F45="","",F45*'⚙ Settings'!C13)</f>
        <v/>
      </c>
      <c r="H45" s="53"/>
      <c r="I45" s="56"/>
    </row>
    <row r="46" customFormat="false" ht="19.5" hidden="false" customHeight="true" outlineLevel="0" collapsed="false">
      <c r="A46" s="51"/>
      <c r="B46" s="52"/>
      <c r="C46" s="52"/>
      <c r="D46" s="53"/>
      <c r="E46" s="54"/>
      <c r="F46" s="55"/>
      <c r="G46" s="49" t="str">
        <f aca="false">IF(F46="","",F46*'⚙ Settings'!C13)</f>
        <v/>
      </c>
      <c r="H46" s="53"/>
      <c r="I46" s="54"/>
    </row>
    <row r="47" customFormat="false" ht="19.5" hidden="false" customHeight="true" outlineLevel="0" collapsed="false">
      <c r="A47" s="51"/>
      <c r="B47" s="52"/>
      <c r="C47" s="52"/>
      <c r="D47" s="53"/>
      <c r="E47" s="56"/>
      <c r="F47" s="55"/>
      <c r="G47" s="49" t="str">
        <f aca="false">IF(F47="","",F47*'⚙ Settings'!C13)</f>
        <v/>
      </c>
      <c r="H47" s="53"/>
      <c r="I47" s="56"/>
    </row>
    <row r="48" customFormat="false" ht="19.5" hidden="false" customHeight="true" outlineLevel="0" collapsed="false">
      <c r="A48" s="51"/>
      <c r="B48" s="52"/>
      <c r="C48" s="52"/>
      <c r="D48" s="53"/>
      <c r="E48" s="54"/>
      <c r="F48" s="55"/>
      <c r="G48" s="49" t="str">
        <f aca="false">IF(F48="","",F48*'⚙ Settings'!C13)</f>
        <v/>
      </c>
      <c r="H48" s="53"/>
      <c r="I48" s="54"/>
    </row>
    <row r="49" customFormat="false" ht="19.5" hidden="false" customHeight="true" outlineLevel="0" collapsed="false">
      <c r="A49" s="51"/>
      <c r="B49" s="52"/>
      <c r="C49" s="52"/>
      <c r="D49" s="53"/>
      <c r="E49" s="56"/>
      <c r="F49" s="55"/>
      <c r="G49" s="49" t="str">
        <f aca="false">IF(F49="","",F49*'⚙ Settings'!C13)</f>
        <v/>
      </c>
      <c r="H49" s="53"/>
      <c r="I49" s="56"/>
    </row>
    <row r="50" customFormat="false" ht="19.5" hidden="false" customHeight="true" outlineLevel="0" collapsed="false">
      <c r="A50" s="51"/>
      <c r="B50" s="52"/>
      <c r="C50" s="52"/>
      <c r="D50" s="53"/>
      <c r="E50" s="54"/>
      <c r="F50" s="55"/>
      <c r="G50" s="49" t="str">
        <f aca="false">IF(F50="","",F50*'⚙ Settings'!C13)</f>
        <v/>
      </c>
      <c r="H50" s="53"/>
      <c r="I50" s="54"/>
    </row>
    <row r="51" customFormat="false" ht="19.5" hidden="false" customHeight="true" outlineLevel="0" collapsed="false">
      <c r="A51" s="51"/>
      <c r="B51" s="52"/>
      <c r="C51" s="52"/>
      <c r="D51" s="53"/>
      <c r="E51" s="56"/>
      <c r="F51" s="55"/>
      <c r="G51" s="49" t="str">
        <f aca="false">IF(F51="","",F51*'⚙ Settings'!C13)</f>
        <v/>
      </c>
      <c r="H51" s="53"/>
      <c r="I51" s="56"/>
    </row>
    <row r="52" customFormat="false" ht="19.5" hidden="false" customHeight="true" outlineLevel="0" collapsed="false">
      <c r="A52" s="51"/>
      <c r="B52" s="52"/>
      <c r="C52" s="52"/>
      <c r="D52" s="53"/>
      <c r="E52" s="54"/>
      <c r="F52" s="55"/>
      <c r="G52" s="49" t="str">
        <f aca="false">IF(F52="","",F52*'⚙ Settings'!C13)</f>
        <v/>
      </c>
      <c r="H52" s="53"/>
      <c r="I52" s="54"/>
    </row>
    <row r="53" customFormat="false" ht="19.5" hidden="false" customHeight="true" outlineLevel="0" collapsed="false">
      <c r="A53" s="51"/>
      <c r="B53" s="52"/>
      <c r="C53" s="52"/>
      <c r="D53" s="53"/>
      <c r="E53" s="56"/>
      <c r="F53" s="55"/>
      <c r="G53" s="49" t="str">
        <f aca="false">IF(F53="","",F53*'⚙ Settings'!C13)</f>
        <v/>
      </c>
      <c r="H53" s="53"/>
      <c r="I53" s="56"/>
    </row>
    <row r="54" customFormat="false" ht="19.5" hidden="false" customHeight="true" outlineLevel="0" collapsed="false">
      <c r="A54" s="51"/>
      <c r="B54" s="52"/>
      <c r="C54" s="52"/>
      <c r="D54" s="53"/>
      <c r="E54" s="54"/>
      <c r="F54" s="55"/>
      <c r="G54" s="49" t="str">
        <f aca="false">IF(F54="","",F54*'⚙ Settings'!C13)</f>
        <v/>
      </c>
      <c r="H54" s="53"/>
      <c r="I54" s="54"/>
    </row>
    <row r="55" customFormat="false" ht="19.5" hidden="false" customHeight="true" outlineLevel="0" collapsed="false">
      <c r="A55" s="51"/>
      <c r="B55" s="52"/>
      <c r="C55" s="52"/>
      <c r="D55" s="53"/>
      <c r="E55" s="56"/>
      <c r="F55" s="55"/>
      <c r="G55" s="49" t="str">
        <f aca="false">IF(F55="","",F55*'⚙ Settings'!C13)</f>
        <v/>
      </c>
      <c r="H55" s="53"/>
      <c r="I55" s="56"/>
    </row>
    <row r="56" customFormat="false" ht="19.5" hidden="false" customHeight="true" outlineLevel="0" collapsed="false">
      <c r="A56" s="51"/>
      <c r="B56" s="52"/>
      <c r="C56" s="52"/>
      <c r="D56" s="53"/>
      <c r="E56" s="54"/>
      <c r="F56" s="55"/>
      <c r="G56" s="49" t="str">
        <f aca="false">IF(F56="","",F56*'⚙ Settings'!C13)</f>
        <v/>
      </c>
      <c r="H56" s="53"/>
      <c r="I56" s="54"/>
    </row>
    <row r="57" customFormat="false" ht="19.5" hidden="false" customHeight="true" outlineLevel="0" collapsed="false">
      <c r="A57" s="51"/>
      <c r="B57" s="52"/>
      <c r="C57" s="52"/>
      <c r="D57" s="53"/>
      <c r="E57" s="56"/>
      <c r="F57" s="55"/>
      <c r="G57" s="49" t="str">
        <f aca="false">IF(F57="","",F57*'⚙ Settings'!C13)</f>
        <v/>
      </c>
      <c r="H57" s="53"/>
      <c r="I57" s="56"/>
    </row>
    <row r="58" customFormat="false" ht="19.5" hidden="false" customHeight="true" outlineLevel="0" collapsed="false">
      <c r="A58" s="51"/>
      <c r="B58" s="52"/>
      <c r="C58" s="52"/>
      <c r="D58" s="53"/>
      <c r="E58" s="54"/>
      <c r="F58" s="55"/>
      <c r="G58" s="49" t="str">
        <f aca="false">IF(F58="","",F58*'⚙ Settings'!C13)</f>
        <v/>
      </c>
      <c r="H58" s="53"/>
      <c r="I58" s="54"/>
    </row>
    <row r="59" customFormat="false" ht="19.5" hidden="false" customHeight="true" outlineLevel="0" collapsed="false">
      <c r="A59" s="51"/>
      <c r="B59" s="52"/>
      <c r="C59" s="52"/>
      <c r="D59" s="53"/>
      <c r="E59" s="56"/>
      <c r="F59" s="55"/>
      <c r="G59" s="49" t="str">
        <f aca="false">IF(F59="","",F59*'⚙ Settings'!C13)</f>
        <v/>
      </c>
      <c r="H59" s="53"/>
      <c r="I59" s="56"/>
    </row>
    <row r="60" customFormat="false" ht="19.5" hidden="false" customHeight="true" outlineLevel="0" collapsed="false">
      <c r="A60" s="51"/>
      <c r="B60" s="52"/>
      <c r="C60" s="52"/>
      <c r="D60" s="53"/>
      <c r="E60" s="54"/>
      <c r="F60" s="55"/>
      <c r="G60" s="49" t="str">
        <f aca="false">IF(F60="","",F60*'⚙ Settings'!C13)</f>
        <v/>
      </c>
      <c r="H60" s="53"/>
      <c r="I60" s="54"/>
    </row>
    <row r="61" customFormat="false" ht="19.5" hidden="false" customHeight="true" outlineLevel="0" collapsed="false">
      <c r="A61" s="51"/>
      <c r="B61" s="52"/>
      <c r="C61" s="52"/>
      <c r="D61" s="53"/>
      <c r="E61" s="56"/>
      <c r="F61" s="55"/>
      <c r="G61" s="49" t="str">
        <f aca="false">IF(F61="","",F61*'⚙ Settings'!C13)</f>
        <v/>
      </c>
      <c r="H61" s="53"/>
      <c r="I61" s="56"/>
    </row>
    <row r="62" customFormat="false" ht="19.5" hidden="false" customHeight="true" outlineLevel="0" collapsed="false">
      <c r="A62" s="51"/>
      <c r="B62" s="52"/>
      <c r="C62" s="52"/>
      <c r="D62" s="53"/>
      <c r="E62" s="54"/>
      <c r="F62" s="55"/>
      <c r="G62" s="49" t="str">
        <f aca="false">IF(F62="","",F62*'⚙ Settings'!C13)</f>
        <v/>
      </c>
      <c r="H62" s="53"/>
      <c r="I62" s="54"/>
    </row>
    <row r="63" customFormat="false" ht="19.5" hidden="false" customHeight="true" outlineLevel="0" collapsed="false">
      <c r="A63" s="51"/>
      <c r="B63" s="52"/>
      <c r="C63" s="52"/>
      <c r="D63" s="53"/>
      <c r="E63" s="56"/>
      <c r="F63" s="55"/>
      <c r="G63" s="49" t="str">
        <f aca="false">IF(F63="","",F63*'⚙ Settings'!C13)</f>
        <v/>
      </c>
      <c r="H63" s="53"/>
      <c r="I63" s="56"/>
    </row>
    <row r="64" customFormat="false" ht="27.75" hidden="false" customHeight="true" outlineLevel="0" collapsed="false">
      <c r="A64" s="57" t="s">
        <v>134</v>
      </c>
      <c r="B64" s="57"/>
      <c r="C64" s="57"/>
      <c r="D64" s="57"/>
      <c r="E64" s="57"/>
      <c r="F64" s="58" t="n">
        <f aca="false">SUM(F5:F63)</f>
        <v>25200</v>
      </c>
      <c r="G64" s="58" t="n">
        <f aca="false">SUM(G5:G63)</f>
        <v>3855.6</v>
      </c>
      <c r="H64" s="59"/>
      <c r="I64" s="59"/>
    </row>
  </sheetData>
  <mergeCells count="3">
    <mergeCell ref="A1:I2"/>
    <mergeCell ref="A3:I3"/>
    <mergeCell ref="A64:E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0000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4"/>
    <col collapsed="false" customWidth="true" hidden="false" outlineLevel="0" max="3" min="3" style="1" width="22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15"/>
    <col collapsed="false" customWidth="true" hidden="false" outlineLevel="0" max="8" min="7" style="1" width="14"/>
  </cols>
  <sheetData>
    <row r="1" customFormat="false" ht="21.75" hidden="false" customHeight="true" outlineLevel="0" collapsed="false">
      <c r="A1" s="36" t="s">
        <v>135</v>
      </c>
      <c r="B1" s="36"/>
      <c r="C1" s="36"/>
      <c r="D1" s="36"/>
      <c r="E1" s="36"/>
      <c r="F1" s="36"/>
      <c r="G1" s="36"/>
      <c r="H1" s="36"/>
    </row>
    <row r="2" customFormat="false" ht="21.75" hidden="false" customHeight="true" outlineLevel="0" collapsed="false">
      <c r="A2" s="36"/>
      <c r="B2" s="36"/>
      <c r="C2" s="36"/>
      <c r="D2" s="36"/>
      <c r="E2" s="36"/>
      <c r="F2" s="36"/>
      <c r="G2" s="36"/>
      <c r="H2" s="36"/>
    </row>
    <row r="3" customFormat="false" ht="18" hidden="false" customHeight="true" outlineLevel="0" collapsed="false">
      <c r="A3" s="37" t="s">
        <v>136</v>
      </c>
      <c r="B3" s="37"/>
      <c r="C3" s="37"/>
      <c r="D3" s="37"/>
      <c r="E3" s="37"/>
      <c r="F3" s="37"/>
      <c r="G3" s="37"/>
      <c r="H3" s="37"/>
    </row>
    <row r="4" customFormat="false" ht="25.5" hidden="false" customHeight="true" outlineLevel="0" collapsed="false">
      <c r="A4" s="43" t="s">
        <v>81</v>
      </c>
      <c r="B4" s="43" t="s">
        <v>137</v>
      </c>
      <c r="C4" s="43" t="s">
        <v>138</v>
      </c>
      <c r="D4" s="43" t="s">
        <v>84</v>
      </c>
      <c r="E4" s="43" t="s">
        <v>139</v>
      </c>
      <c r="F4" s="43" t="s">
        <v>86</v>
      </c>
      <c r="G4" s="43" t="s">
        <v>140</v>
      </c>
      <c r="H4" s="43" t="s">
        <v>89</v>
      </c>
    </row>
    <row r="5" customFormat="false" ht="19.5" hidden="false" customHeight="true" outlineLevel="0" collapsed="false">
      <c r="A5" s="44" t="s">
        <v>141</v>
      </c>
      <c r="B5" s="45" t="s">
        <v>142</v>
      </c>
      <c r="C5" s="45" t="s">
        <v>143</v>
      </c>
      <c r="D5" s="46" t="s">
        <v>144</v>
      </c>
      <c r="E5" s="47" t="s">
        <v>145</v>
      </c>
      <c r="F5" s="48" t="n">
        <v>54.99</v>
      </c>
      <c r="G5" s="60" t="s">
        <v>146</v>
      </c>
      <c r="H5" s="47"/>
    </row>
    <row r="6" customFormat="false" ht="19.5" hidden="false" customHeight="true" outlineLevel="0" collapsed="false">
      <c r="A6" s="44" t="s">
        <v>147</v>
      </c>
      <c r="B6" s="45" t="s">
        <v>148</v>
      </c>
      <c r="C6" s="45" t="s">
        <v>149</v>
      </c>
      <c r="D6" s="46" t="s">
        <v>150</v>
      </c>
      <c r="E6" s="50" t="s">
        <v>151</v>
      </c>
      <c r="F6" s="48" t="n">
        <v>350</v>
      </c>
      <c r="G6" s="61" t="s">
        <v>146</v>
      </c>
      <c r="H6" s="50"/>
    </row>
    <row r="7" customFormat="false" ht="19.5" hidden="false" customHeight="true" outlineLevel="0" collapsed="false">
      <c r="A7" s="44" t="s">
        <v>152</v>
      </c>
      <c r="B7" s="45" t="s">
        <v>153</v>
      </c>
      <c r="C7" s="45" t="s">
        <v>154</v>
      </c>
      <c r="D7" s="46" t="s">
        <v>155</v>
      </c>
      <c r="E7" s="47" t="s">
        <v>156</v>
      </c>
      <c r="F7" s="48" t="n">
        <v>87.43</v>
      </c>
      <c r="G7" s="60" t="s">
        <v>146</v>
      </c>
      <c r="H7" s="47"/>
    </row>
    <row r="8" customFormat="false" ht="19.5" hidden="false" customHeight="true" outlineLevel="0" collapsed="false">
      <c r="A8" s="44" t="s">
        <v>157</v>
      </c>
      <c r="B8" s="45" t="s">
        <v>142</v>
      </c>
      <c r="C8" s="45" t="s">
        <v>143</v>
      </c>
      <c r="D8" s="46" t="s">
        <v>144</v>
      </c>
      <c r="E8" s="50" t="s">
        <v>158</v>
      </c>
      <c r="F8" s="48" t="n">
        <v>54.99</v>
      </c>
      <c r="G8" s="61" t="s">
        <v>146</v>
      </c>
      <c r="H8" s="50"/>
    </row>
    <row r="9" customFormat="false" ht="19.5" hidden="false" customHeight="true" outlineLevel="0" collapsed="false">
      <c r="A9" s="44" t="s">
        <v>159</v>
      </c>
      <c r="B9" s="45" t="s">
        <v>148</v>
      </c>
      <c r="C9" s="45" t="s">
        <v>160</v>
      </c>
      <c r="D9" s="46" t="s">
        <v>150</v>
      </c>
      <c r="E9" s="47" t="s">
        <v>161</v>
      </c>
      <c r="F9" s="48" t="n">
        <v>350</v>
      </c>
      <c r="G9" s="60" t="s">
        <v>146</v>
      </c>
      <c r="H9" s="47"/>
    </row>
    <row r="10" customFormat="false" ht="19.5" hidden="false" customHeight="true" outlineLevel="0" collapsed="false">
      <c r="A10" s="44" t="s">
        <v>162</v>
      </c>
      <c r="B10" s="45" t="s">
        <v>163</v>
      </c>
      <c r="C10" s="45" t="s">
        <v>164</v>
      </c>
      <c r="D10" s="46" t="s">
        <v>165</v>
      </c>
      <c r="E10" s="50" t="s">
        <v>166</v>
      </c>
      <c r="F10" s="48" t="n">
        <v>34.5</v>
      </c>
      <c r="G10" s="61" t="s">
        <v>146</v>
      </c>
      <c r="H10" s="50"/>
    </row>
    <row r="11" customFormat="false" ht="19.5" hidden="false" customHeight="true" outlineLevel="0" collapsed="false">
      <c r="A11" s="44" t="s">
        <v>167</v>
      </c>
      <c r="B11" s="45" t="s">
        <v>142</v>
      </c>
      <c r="C11" s="45" t="s">
        <v>143</v>
      </c>
      <c r="D11" s="46" t="s">
        <v>144</v>
      </c>
      <c r="E11" s="47" t="s">
        <v>168</v>
      </c>
      <c r="F11" s="48" t="n">
        <v>54.99</v>
      </c>
      <c r="G11" s="60" t="s">
        <v>146</v>
      </c>
      <c r="H11" s="47"/>
    </row>
    <row r="12" customFormat="false" ht="19.5" hidden="false" customHeight="true" outlineLevel="0" collapsed="false">
      <c r="A12" s="44" t="s">
        <v>169</v>
      </c>
      <c r="B12" s="45" t="s">
        <v>170</v>
      </c>
      <c r="C12" s="45" t="s">
        <v>171</v>
      </c>
      <c r="D12" s="46" t="s">
        <v>172</v>
      </c>
      <c r="E12" s="50" t="s">
        <v>173</v>
      </c>
      <c r="F12" s="48" t="n">
        <v>129.99</v>
      </c>
      <c r="G12" s="61" t="s">
        <v>146</v>
      </c>
      <c r="H12" s="50"/>
    </row>
    <row r="13" customFormat="false" ht="19.5" hidden="false" customHeight="true" outlineLevel="0" collapsed="false">
      <c r="A13" s="44" t="s">
        <v>174</v>
      </c>
      <c r="B13" s="45" t="s">
        <v>175</v>
      </c>
      <c r="C13" s="45" t="s">
        <v>176</v>
      </c>
      <c r="D13" s="46" t="s">
        <v>132</v>
      </c>
      <c r="E13" s="47" t="s">
        <v>177</v>
      </c>
      <c r="F13" s="48" t="n">
        <v>49</v>
      </c>
      <c r="G13" s="60" t="s">
        <v>146</v>
      </c>
      <c r="H13" s="47"/>
    </row>
    <row r="14" customFormat="false" ht="19.5" hidden="false" customHeight="true" outlineLevel="0" collapsed="false">
      <c r="A14" s="53"/>
      <c r="B14" s="53"/>
      <c r="C14" s="53"/>
      <c r="D14" s="53"/>
      <c r="E14" s="54"/>
      <c r="F14" s="55"/>
      <c r="G14" s="54"/>
      <c r="H14" s="54"/>
    </row>
    <row r="15" customFormat="false" ht="19.5" hidden="false" customHeight="true" outlineLevel="0" collapsed="false">
      <c r="A15" s="53"/>
      <c r="B15" s="53"/>
      <c r="C15" s="53"/>
      <c r="D15" s="53"/>
      <c r="E15" s="56"/>
      <c r="F15" s="55"/>
      <c r="G15" s="56"/>
      <c r="H15" s="56"/>
    </row>
    <row r="16" customFormat="false" ht="19.5" hidden="false" customHeight="true" outlineLevel="0" collapsed="false">
      <c r="A16" s="53"/>
      <c r="B16" s="53"/>
      <c r="C16" s="53"/>
      <c r="D16" s="53"/>
      <c r="E16" s="54"/>
      <c r="F16" s="55"/>
      <c r="G16" s="54"/>
      <c r="H16" s="54"/>
    </row>
    <row r="17" customFormat="false" ht="19.5" hidden="false" customHeight="true" outlineLevel="0" collapsed="false">
      <c r="A17" s="53"/>
      <c r="B17" s="53"/>
      <c r="C17" s="53"/>
      <c r="D17" s="53"/>
      <c r="E17" s="56"/>
      <c r="F17" s="55"/>
      <c r="G17" s="56"/>
      <c r="H17" s="56"/>
    </row>
    <row r="18" customFormat="false" ht="19.5" hidden="false" customHeight="true" outlineLevel="0" collapsed="false">
      <c r="A18" s="53"/>
      <c r="B18" s="53"/>
      <c r="C18" s="53"/>
      <c r="D18" s="53"/>
      <c r="E18" s="54"/>
      <c r="F18" s="55"/>
      <c r="G18" s="54"/>
      <c r="H18" s="54"/>
    </row>
    <row r="19" customFormat="false" ht="19.5" hidden="false" customHeight="true" outlineLevel="0" collapsed="false">
      <c r="A19" s="53"/>
      <c r="B19" s="53"/>
      <c r="C19" s="53"/>
      <c r="D19" s="53"/>
      <c r="E19" s="56"/>
      <c r="F19" s="55"/>
      <c r="G19" s="56"/>
      <c r="H19" s="56"/>
    </row>
    <row r="20" customFormat="false" ht="19.5" hidden="false" customHeight="true" outlineLevel="0" collapsed="false">
      <c r="A20" s="53"/>
      <c r="B20" s="53"/>
      <c r="C20" s="53"/>
      <c r="D20" s="53"/>
      <c r="E20" s="54"/>
      <c r="F20" s="55"/>
      <c r="G20" s="54"/>
      <c r="H20" s="54"/>
    </row>
    <row r="21" customFormat="false" ht="19.5" hidden="false" customHeight="true" outlineLevel="0" collapsed="false">
      <c r="A21" s="53"/>
      <c r="B21" s="53"/>
      <c r="C21" s="53"/>
      <c r="D21" s="53"/>
      <c r="E21" s="56"/>
      <c r="F21" s="55"/>
      <c r="G21" s="56"/>
      <c r="H21" s="56"/>
    </row>
    <row r="22" customFormat="false" ht="19.5" hidden="false" customHeight="true" outlineLevel="0" collapsed="false">
      <c r="A22" s="53"/>
      <c r="B22" s="53"/>
      <c r="C22" s="53"/>
      <c r="D22" s="53"/>
      <c r="E22" s="54"/>
      <c r="F22" s="55"/>
      <c r="G22" s="54"/>
      <c r="H22" s="54"/>
    </row>
    <row r="23" customFormat="false" ht="19.5" hidden="false" customHeight="true" outlineLevel="0" collapsed="false">
      <c r="A23" s="53"/>
      <c r="B23" s="53"/>
      <c r="C23" s="53"/>
      <c r="D23" s="53"/>
      <c r="E23" s="56"/>
      <c r="F23" s="55"/>
      <c r="G23" s="56"/>
      <c r="H23" s="56"/>
    </row>
    <row r="24" customFormat="false" ht="19.5" hidden="false" customHeight="true" outlineLevel="0" collapsed="false">
      <c r="A24" s="53"/>
      <c r="B24" s="53"/>
      <c r="C24" s="53"/>
      <c r="D24" s="53"/>
      <c r="E24" s="54"/>
      <c r="F24" s="55"/>
      <c r="G24" s="54"/>
      <c r="H24" s="54"/>
    </row>
    <row r="25" customFormat="false" ht="19.5" hidden="false" customHeight="true" outlineLevel="0" collapsed="false">
      <c r="A25" s="53"/>
      <c r="B25" s="53"/>
      <c r="C25" s="53"/>
      <c r="D25" s="53"/>
      <c r="E25" s="56"/>
      <c r="F25" s="55"/>
      <c r="G25" s="56"/>
      <c r="H25" s="56"/>
    </row>
    <row r="26" customFormat="false" ht="19.5" hidden="false" customHeight="true" outlineLevel="0" collapsed="false">
      <c r="A26" s="53"/>
      <c r="B26" s="53"/>
      <c r="C26" s="53"/>
      <c r="D26" s="53"/>
      <c r="E26" s="54"/>
      <c r="F26" s="55"/>
      <c r="G26" s="54"/>
      <c r="H26" s="54"/>
    </row>
    <row r="27" customFormat="false" ht="19.5" hidden="false" customHeight="true" outlineLevel="0" collapsed="false">
      <c r="A27" s="53"/>
      <c r="B27" s="53"/>
      <c r="C27" s="53"/>
      <c r="D27" s="53"/>
      <c r="E27" s="56"/>
      <c r="F27" s="55"/>
      <c r="G27" s="56"/>
      <c r="H27" s="56"/>
    </row>
    <row r="28" customFormat="false" ht="19.5" hidden="false" customHeight="true" outlineLevel="0" collapsed="false">
      <c r="A28" s="53"/>
      <c r="B28" s="53"/>
      <c r="C28" s="53"/>
      <c r="D28" s="53"/>
      <c r="E28" s="54"/>
      <c r="F28" s="55"/>
      <c r="G28" s="54"/>
      <c r="H28" s="54"/>
    </row>
    <row r="29" customFormat="false" ht="19.5" hidden="false" customHeight="true" outlineLevel="0" collapsed="false">
      <c r="A29" s="53"/>
      <c r="B29" s="53"/>
      <c r="C29" s="53"/>
      <c r="D29" s="53"/>
      <c r="E29" s="56"/>
      <c r="F29" s="55"/>
      <c r="G29" s="56"/>
      <c r="H29" s="56"/>
    </row>
    <row r="30" customFormat="false" ht="19.5" hidden="false" customHeight="true" outlineLevel="0" collapsed="false">
      <c r="A30" s="53"/>
      <c r="B30" s="53"/>
      <c r="C30" s="53"/>
      <c r="D30" s="53"/>
      <c r="E30" s="54"/>
      <c r="F30" s="55"/>
      <c r="G30" s="54"/>
      <c r="H30" s="54"/>
    </row>
    <row r="31" customFormat="false" ht="19.5" hidden="false" customHeight="true" outlineLevel="0" collapsed="false">
      <c r="A31" s="53"/>
      <c r="B31" s="53"/>
      <c r="C31" s="53"/>
      <c r="D31" s="53"/>
      <c r="E31" s="56"/>
      <c r="F31" s="55"/>
      <c r="G31" s="56"/>
      <c r="H31" s="56"/>
    </row>
    <row r="32" customFormat="false" ht="19.5" hidden="false" customHeight="true" outlineLevel="0" collapsed="false">
      <c r="A32" s="53"/>
      <c r="B32" s="53"/>
      <c r="C32" s="53"/>
      <c r="D32" s="53"/>
      <c r="E32" s="54"/>
      <c r="F32" s="55"/>
      <c r="G32" s="54"/>
      <c r="H32" s="54"/>
    </row>
    <row r="33" customFormat="false" ht="19.5" hidden="false" customHeight="true" outlineLevel="0" collapsed="false">
      <c r="A33" s="53"/>
      <c r="B33" s="53"/>
      <c r="C33" s="53"/>
      <c r="D33" s="53"/>
      <c r="E33" s="56"/>
      <c r="F33" s="55"/>
      <c r="G33" s="56"/>
      <c r="H33" s="56"/>
    </row>
    <row r="34" customFormat="false" ht="19.5" hidden="false" customHeight="true" outlineLevel="0" collapsed="false">
      <c r="A34" s="53"/>
      <c r="B34" s="53"/>
      <c r="C34" s="53"/>
      <c r="D34" s="53"/>
      <c r="E34" s="54"/>
      <c r="F34" s="55"/>
      <c r="G34" s="54"/>
      <c r="H34" s="54"/>
    </row>
    <row r="35" customFormat="false" ht="19.5" hidden="false" customHeight="true" outlineLevel="0" collapsed="false">
      <c r="A35" s="53"/>
      <c r="B35" s="53"/>
      <c r="C35" s="53"/>
      <c r="D35" s="53"/>
      <c r="E35" s="56"/>
      <c r="F35" s="55"/>
      <c r="G35" s="56"/>
      <c r="H35" s="56"/>
    </row>
    <row r="36" customFormat="false" ht="19.5" hidden="false" customHeight="true" outlineLevel="0" collapsed="false">
      <c r="A36" s="53"/>
      <c r="B36" s="53"/>
      <c r="C36" s="53"/>
      <c r="D36" s="53"/>
      <c r="E36" s="54"/>
      <c r="F36" s="55"/>
      <c r="G36" s="54"/>
      <c r="H36" s="54"/>
    </row>
    <row r="37" customFormat="false" ht="19.5" hidden="false" customHeight="true" outlineLevel="0" collapsed="false">
      <c r="A37" s="53"/>
      <c r="B37" s="53"/>
      <c r="C37" s="53"/>
      <c r="D37" s="53"/>
      <c r="E37" s="56"/>
      <c r="F37" s="55"/>
      <c r="G37" s="56"/>
      <c r="H37" s="56"/>
    </row>
    <row r="38" customFormat="false" ht="19.5" hidden="false" customHeight="true" outlineLevel="0" collapsed="false">
      <c r="A38" s="53"/>
      <c r="B38" s="53"/>
      <c r="C38" s="53"/>
      <c r="D38" s="53"/>
      <c r="E38" s="54"/>
      <c r="F38" s="55"/>
      <c r="G38" s="54"/>
      <c r="H38" s="54"/>
    </row>
    <row r="39" customFormat="false" ht="19.5" hidden="false" customHeight="true" outlineLevel="0" collapsed="false">
      <c r="A39" s="53"/>
      <c r="B39" s="53"/>
      <c r="C39" s="53"/>
      <c r="D39" s="53"/>
      <c r="E39" s="56"/>
      <c r="F39" s="55"/>
      <c r="G39" s="56"/>
      <c r="H39" s="56"/>
    </row>
    <row r="40" customFormat="false" ht="19.5" hidden="false" customHeight="true" outlineLevel="0" collapsed="false">
      <c r="A40" s="53"/>
      <c r="B40" s="53"/>
      <c r="C40" s="53"/>
      <c r="D40" s="53"/>
      <c r="E40" s="54"/>
      <c r="F40" s="55"/>
      <c r="G40" s="54"/>
      <c r="H40" s="54"/>
    </row>
    <row r="41" customFormat="false" ht="19.5" hidden="false" customHeight="true" outlineLevel="0" collapsed="false">
      <c r="A41" s="53"/>
      <c r="B41" s="53"/>
      <c r="C41" s="53"/>
      <c r="D41" s="53"/>
      <c r="E41" s="56"/>
      <c r="F41" s="55"/>
      <c r="G41" s="56"/>
      <c r="H41" s="56"/>
    </row>
    <row r="42" customFormat="false" ht="19.5" hidden="false" customHeight="true" outlineLevel="0" collapsed="false">
      <c r="A42" s="53"/>
      <c r="B42" s="53"/>
      <c r="C42" s="53"/>
      <c r="D42" s="53"/>
      <c r="E42" s="54"/>
      <c r="F42" s="55"/>
      <c r="G42" s="54"/>
      <c r="H42" s="54"/>
    </row>
    <row r="43" customFormat="false" ht="19.5" hidden="false" customHeight="true" outlineLevel="0" collapsed="false">
      <c r="A43" s="53"/>
      <c r="B43" s="53"/>
      <c r="C43" s="53"/>
      <c r="D43" s="53"/>
      <c r="E43" s="56"/>
      <c r="F43" s="55"/>
      <c r="G43" s="56"/>
      <c r="H43" s="56"/>
    </row>
    <row r="44" customFormat="false" ht="19.5" hidden="false" customHeight="true" outlineLevel="0" collapsed="false">
      <c r="A44" s="53"/>
      <c r="B44" s="53"/>
      <c r="C44" s="53"/>
      <c r="D44" s="53"/>
      <c r="E44" s="54"/>
      <c r="F44" s="55"/>
      <c r="G44" s="54"/>
      <c r="H44" s="54"/>
    </row>
    <row r="45" customFormat="false" ht="19.5" hidden="false" customHeight="true" outlineLevel="0" collapsed="false">
      <c r="A45" s="53"/>
      <c r="B45" s="53"/>
      <c r="C45" s="53"/>
      <c r="D45" s="53"/>
      <c r="E45" s="56"/>
      <c r="F45" s="55"/>
      <c r="G45" s="56"/>
      <c r="H45" s="56"/>
    </row>
    <row r="46" customFormat="false" ht="19.5" hidden="false" customHeight="true" outlineLevel="0" collapsed="false">
      <c r="A46" s="53"/>
      <c r="B46" s="53"/>
      <c r="C46" s="53"/>
      <c r="D46" s="53"/>
      <c r="E46" s="54"/>
      <c r="F46" s="55"/>
      <c r="G46" s="54"/>
      <c r="H46" s="54"/>
    </row>
    <row r="47" customFormat="false" ht="19.5" hidden="false" customHeight="true" outlineLevel="0" collapsed="false">
      <c r="A47" s="53"/>
      <c r="B47" s="53"/>
      <c r="C47" s="53"/>
      <c r="D47" s="53"/>
      <c r="E47" s="56"/>
      <c r="F47" s="55"/>
      <c r="G47" s="56"/>
      <c r="H47" s="56"/>
    </row>
    <row r="48" customFormat="false" ht="19.5" hidden="false" customHeight="true" outlineLevel="0" collapsed="false">
      <c r="A48" s="53"/>
      <c r="B48" s="53"/>
      <c r="C48" s="53"/>
      <c r="D48" s="53"/>
      <c r="E48" s="54"/>
      <c r="F48" s="55"/>
      <c r="G48" s="54"/>
      <c r="H48" s="54"/>
    </row>
    <row r="49" customFormat="false" ht="19.5" hidden="false" customHeight="true" outlineLevel="0" collapsed="false">
      <c r="A49" s="53"/>
      <c r="B49" s="53"/>
      <c r="C49" s="53"/>
      <c r="D49" s="53"/>
      <c r="E49" s="56"/>
      <c r="F49" s="55"/>
      <c r="G49" s="56"/>
      <c r="H49" s="56"/>
    </row>
    <row r="50" customFormat="false" ht="19.5" hidden="false" customHeight="true" outlineLevel="0" collapsed="false">
      <c r="A50" s="53"/>
      <c r="B50" s="53"/>
      <c r="C50" s="53"/>
      <c r="D50" s="53"/>
      <c r="E50" s="54"/>
      <c r="F50" s="55"/>
      <c r="G50" s="54"/>
      <c r="H50" s="54"/>
    </row>
    <row r="51" customFormat="false" ht="19.5" hidden="false" customHeight="true" outlineLevel="0" collapsed="false">
      <c r="A51" s="53"/>
      <c r="B51" s="53"/>
      <c r="C51" s="53"/>
      <c r="D51" s="53"/>
      <c r="E51" s="56"/>
      <c r="F51" s="55"/>
      <c r="G51" s="56"/>
      <c r="H51" s="56"/>
    </row>
    <row r="52" customFormat="false" ht="19.5" hidden="false" customHeight="true" outlineLevel="0" collapsed="false">
      <c r="A52" s="53"/>
      <c r="B52" s="53"/>
      <c r="C52" s="53"/>
      <c r="D52" s="53"/>
      <c r="E52" s="54"/>
      <c r="F52" s="55"/>
      <c r="G52" s="54"/>
      <c r="H52" s="54"/>
    </row>
    <row r="53" customFormat="false" ht="19.5" hidden="false" customHeight="true" outlineLevel="0" collapsed="false">
      <c r="A53" s="53"/>
      <c r="B53" s="53"/>
      <c r="C53" s="53"/>
      <c r="D53" s="53"/>
      <c r="E53" s="56"/>
      <c r="F53" s="55"/>
      <c r="G53" s="56"/>
      <c r="H53" s="56"/>
    </row>
    <row r="54" customFormat="false" ht="19.5" hidden="false" customHeight="true" outlineLevel="0" collapsed="false">
      <c r="A54" s="53"/>
      <c r="B54" s="53"/>
      <c r="C54" s="53"/>
      <c r="D54" s="53"/>
      <c r="E54" s="54"/>
      <c r="F54" s="55"/>
      <c r="G54" s="54"/>
      <c r="H54" s="54"/>
    </row>
    <row r="55" customFormat="false" ht="19.5" hidden="false" customHeight="true" outlineLevel="0" collapsed="false">
      <c r="A55" s="53"/>
      <c r="B55" s="53"/>
      <c r="C55" s="53"/>
      <c r="D55" s="53"/>
      <c r="E55" s="56"/>
      <c r="F55" s="55"/>
      <c r="G55" s="56"/>
      <c r="H55" s="56"/>
    </row>
    <row r="56" customFormat="false" ht="19.5" hidden="false" customHeight="true" outlineLevel="0" collapsed="false">
      <c r="A56" s="53"/>
      <c r="B56" s="53"/>
      <c r="C56" s="53"/>
      <c r="D56" s="53"/>
      <c r="E56" s="54"/>
      <c r="F56" s="55"/>
      <c r="G56" s="54"/>
      <c r="H56" s="54"/>
    </row>
    <row r="57" customFormat="false" ht="19.5" hidden="false" customHeight="true" outlineLevel="0" collapsed="false">
      <c r="A57" s="53"/>
      <c r="B57" s="53"/>
      <c r="C57" s="53"/>
      <c r="D57" s="53"/>
      <c r="E57" s="56"/>
      <c r="F57" s="55"/>
      <c r="G57" s="56"/>
      <c r="H57" s="56"/>
    </row>
    <row r="58" customFormat="false" ht="19.5" hidden="false" customHeight="true" outlineLevel="0" collapsed="false">
      <c r="A58" s="53"/>
      <c r="B58" s="53"/>
      <c r="C58" s="53"/>
      <c r="D58" s="53"/>
      <c r="E58" s="54"/>
      <c r="F58" s="55"/>
      <c r="G58" s="54"/>
      <c r="H58" s="54"/>
    </row>
    <row r="59" customFormat="false" ht="19.5" hidden="false" customHeight="true" outlineLevel="0" collapsed="false">
      <c r="A59" s="53"/>
      <c r="B59" s="53"/>
      <c r="C59" s="53"/>
      <c r="D59" s="53"/>
      <c r="E59" s="56"/>
      <c r="F59" s="55"/>
      <c r="G59" s="56"/>
      <c r="H59" s="56"/>
    </row>
    <row r="60" customFormat="false" ht="19.5" hidden="false" customHeight="true" outlineLevel="0" collapsed="false">
      <c r="A60" s="53"/>
      <c r="B60" s="53"/>
      <c r="C60" s="53"/>
      <c r="D60" s="53"/>
      <c r="E60" s="54"/>
      <c r="F60" s="55"/>
      <c r="G60" s="54"/>
      <c r="H60" s="54"/>
    </row>
    <row r="61" customFormat="false" ht="19.5" hidden="false" customHeight="true" outlineLevel="0" collapsed="false">
      <c r="A61" s="53"/>
      <c r="B61" s="53"/>
      <c r="C61" s="53"/>
      <c r="D61" s="53"/>
      <c r="E61" s="56"/>
      <c r="F61" s="55"/>
      <c r="G61" s="56"/>
      <c r="H61" s="56"/>
    </row>
    <row r="62" customFormat="false" ht="19.5" hidden="false" customHeight="true" outlineLevel="0" collapsed="false">
      <c r="A62" s="53"/>
      <c r="B62" s="53"/>
      <c r="C62" s="53"/>
      <c r="D62" s="53"/>
      <c r="E62" s="54"/>
      <c r="F62" s="55"/>
      <c r="G62" s="54"/>
      <c r="H62" s="54"/>
    </row>
    <row r="63" customFormat="false" ht="19.5" hidden="false" customHeight="true" outlineLevel="0" collapsed="false">
      <c r="A63" s="53"/>
      <c r="B63" s="53"/>
      <c r="C63" s="53"/>
      <c r="D63" s="53"/>
      <c r="E63" s="56"/>
      <c r="F63" s="55"/>
      <c r="G63" s="56"/>
      <c r="H63" s="56"/>
    </row>
    <row r="64" customFormat="false" ht="27.75" hidden="false" customHeight="true" outlineLevel="0" collapsed="false">
      <c r="A64" s="57" t="s">
        <v>5</v>
      </c>
      <c r="B64" s="57"/>
      <c r="C64" s="57"/>
      <c r="D64" s="57"/>
      <c r="E64" s="57"/>
      <c r="F64" s="58" t="n">
        <f aca="false">SUM(F5:F63)</f>
        <v>1165.89</v>
      </c>
      <c r="G64" s="59"/>
      <c r="H64" s="59"/>
    </row>
    <row r="65" customFormat="false" ht="24" hidden="false" customHeight="true" outlineLevel="0" collapsed="false">
      <c r="A65" s="62" t="s">
        <v>178</v>
      </c>
      <c r="B65" s="62"/>
      <c r="C65" s="62"/>
      <c r="D65" s="62"/>
      <c r="E65" s="62"/>
      <c r="F65" s="63" t="n">
        <f aca="false">SUMIF(G5:G63,"Yes",F5:F63)</f>
        <v>1165.89</v>
      </c>
    </row>
  </sheetData>
  <mergeCells count="4">
    <mergeCell ref="A1:H2"/>
    <mergeCell ref="A3:H3"/>
    <mergeCell ref="A64:E64"/>
    <mergeCell ref="A65:E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D6608"/>
    <pageSetUpPr fitToPage="false"/>
  </sheetPr>
  <dimension ref="A1:G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4"/>
    <col collapsed="false" customWidth="true" hidden="false" outlineLevel="0" max="3" min="3" style="1" width="20"/>
    <col collapsed="false" customWidth="true" hidden="false" outlineLevel="0" max="5" min="4" style="1" width="14"/>
    <col collapsed="false" customWidth="true" hidden="false" outlineLevel="0" max="7" min="6" style="1" width="16"/>
  </cols>
  <sheetData>
    <row r="1" customFormat="false" ht="21.75" hidden="false" customHeight="true" outlineLevel="0" collapsed="false">
      <c r="A1" s="36" t="s">
        <v>179</v>
      </c>
      <c r="B1" s="36"/>
      <c r="C1" s="36"/>
      <c r="D1" s="36"/>
      <c r="E1" s="36"/>
      <c r="F1" s="36"/>
      <c r="G1" s="36"/>
    </row>
    <row r="2" customFormat="false" ht="21.75" hidden="false" customHeight="true" outlineLevel="0" collapsed="false">
      <c r="A2" s="36"/>
      <c r="B2" s="36"/>
      <c r="C2" s="36"/>
      <c r="D2" s="36"/>
      <c r="E2" s="36"/>
      <c r="F2" s="36"/>
      <c r="G2" s="36"/>
    </row>
    <row r="3" customFormat="false" ht="18" hidden="false" customHeight="true" outlineLevel="0" collapsed="false">
      <c r="A3" s="37" t="s">
        <v>180</v>
      </c>
      <c r="B3" s="37"/>
      <c r="C3" s="37"/>
      <c r="D3" s="37"/>
      <c r="E3" s="37"/>
      <c r="F3" s="37"/>
      <c r="G3" s="37"/>
    </row>
    <row r="4" customFormat="false" ht="24" hidden="false" customHeight="true" outlineLevel="0" collapsed="false">
      <c r="A4" s="38" t="s">
        <v>181</v>
      </c>
      <c r="B4" s="38"/>
      <c r="C4" s="38"/>
      <c r="D4" s="38"/>
      <c r="E4" s="38"/>
      <c r="F4" s="38"/>
      <c r="G4" s="38"/>
    </row>
    <row r="5" customFormat="false" ht="7.5" hidden="false" customHeight="true" outlineLevel="0" collapsed="false"/>
    <row r="6" customFormat="false" ht="24" hidden="false" customHeight="true" outlineLevel="0" collapsed="false">
      <c r="A6" s="43" t="s">
        <v>81</v>
      </c>
      <c r="B6" s="43" t="s">
        <v>182</v>
      </c>
      <c r="C6" s="43" t="s">
        <v>183</v>
      </c>
      <c r="D6" s="43" t="s">
        <v>184</v>
      </c>
      <c r="E6" s="43" t="s">
        <v>185</v>
      </c>
      <c r="F6" s="43" t="s">
        <v>186</v>
      </c>
      <c r="G6" s="43" t="s">
        <v>187</v>
      </c>
    </row>
    <row r="7" customFormat="false" ht="19.5" hidden="false" customHeight="true" outlineLevel="0" collapsed="false">
      <c r="A7" s="44" t="s">
        <v>188</v>
      </c>
      <c r="B7" s="45" t="s">
        <v>189</v>
      </c>
      <c r="C7" s="46" t="s">
        <v>190</v>
      </c>
      <c r="D7" s="46" t="s">
        <v>191</v>
      </c>
      <c r="E7" s="64" t="n">
        <v>18.4</v>
      </c>
      <c r="F7" s="65" t="n">
        <v>0.67</v>
      </c>
      <c r="G7" s="49" t="n">
        <f aca="false">E7*F7</f>
        <v>12.328</v>
      </c>
    </row>
    <row r="8" customFormat="false" ht="19.5" hidden="false" customHeight="true" outlineLevel="0" collapsed="false">
      <c r="A8" s="44" t="s">
        <v>192</v>
      </c>
      <c r="B8" s="45" t="s">
        <v>193</v>
      </c>
      <c r="C8" s="46" t="s">
        <v>190</v>
      </c>
      <c r="D8" s="46" t="s">
        <v>194</v>
      </c>
      <c r="E8" s="64" t="n">
        <v>6.2</v>
      </c>
      <c r="F8" s="65" t="n">
        <v>0.67</v>
      </c>
      <c r="G8" s="49" t="n">
        <f aca="false">E8*F8</f>
        <v>4.154</v>
      </c>
    </row>
    <row r="9" customFormat="false" ht="19.5" hidden="false" customHeight="true" outlineLevel="0" collapsed="false">
      <c r="A9" s="44" t="s">
        <v>195</v>
      </c>
      <c r="B9" s="45" t="s">
        <v>196</v>
      </c>
      <c r="C9" s="46" t="s">
        <v>190</v>
      </c>
      <c r="D9" s="46" t="s">
        <v>197</v>
      </c>
      <c r="E9" s="64" t="n">
        <v>24</v>
      </c>
      <c r="F9" s="65" t="n">
        <v>0.67</v>
      </c>
      <c r="G9" s="49" t="n">
        <f aca="false">E9*F9</f>
        <v>16.08</v>
      </c>
    </row>
    <row r="10" customFormat="false" ht="19.5" hidden="false" customHeight="true" outlineLevel="0" collapsed="false">
      <c r="A10" s="44" t="s">
        <v>198</v>
      </c>
      <c r="B10" s="45" t="s">
        <v>199</v>
      </c>
      <c r="C10" s="46" t="s">
        <v>190</v>
      </c>
      <c r="D10" s="46" t="s">
        <v>200</v>
      </c>
      <c r="E10" s="64" t="n">
        <v>31.5</v>
      </c>
      <c r="F10" s="65" t="n">
        <v>0.67</v>
      </c>
      <c r="G10" s="49" t="n">
        <f aca="false">E10*F10</f>
        <v>21.105</v>
      </c>
    </row>
    <row r="11" customFormat="false" ht="19.5" hidden="false" customHeight="true" outlineLevel="0" collapsed="false">
      <c r="A11" s="44" t="s">
        <v>201</v>
      </c>
      <c r="B11" s="45" t="s">
        <v>202</v>
      </c>
      <c r="C11" s="46" t="s">
        <v>190</v>
      </c>
      <c r="D11" s="46" t="s">
        <v>203</v>
      </c>
      <c r="E11" s="64" t="n">
        <v>3.1</v>
      </c>
      <c r="F11" s="65" t="n">
        <v>0.67</v>
      </c>
      <c r="G11" s="49" t="n">
        <f aca="false">E11*F11</f>
        <v>2.077</v>
      </c>
    </row>
    <row r="12" customFormat="false" ht="19.5" hidden="false" customHeight="true" outlineLevel="0" collapsed="false">
      <c r="A12" s="53"/>
      <c r="B12" s="53"/>
      <c r="C12" s="53"/>
      <c r="D12" s="53"/>
      <c r="E12" s="66"/>
      <c r="F12" s="65" t="n">
        <v>0.67</v>
      </c>
      <c r="G12" s="49" t="str">
        <f aca="false">IF(E12="","",E12*F12)</f>
        <v/>
      </c>
    </row>
    <row r="13" customFormat="false" ht="19.5" hidden="false" customHeight="true" outlineLevel="0" collapsed="false">
      <c r="A13" s="53"/>
      <c r="B13" s="53"/>
      <c r="C13" s="53"/>
      <c r="D13" s="53"/>
      <c r="E13" s="66"/>
      <c r="F13" s="65" t="n">
        <v>0.67</v>
      </c>
      <c r="G13" s="49" t="str">
        <f aca="false">IF(E13="","",E13*F13)</f>
        <v/>
      </c>
    </row>
    <row r="14" customFormat="false" ht="19.5" hidden="false" customHeight="true" outlineLevel="0" collapsed="false">
      <c r="A14" s="53"/>
      <c r="B14" s="53"/>
      <c r="C14" s="53"/>
      <c r="D14" s="53"/>
      <c r="E14" s="66"/>
      <c r="F14" s="65" t="n">
        <v>0.67</v>
      </c>
      <c r="G14" s="49" t="str">
        <f aca="false">IF(E14="","",E14*F14)</f>
        <v/>
      </c>
    </row>
    <row r="15" customFormat="false" ht="19.5" hidden="false" customHeight="true" outlineLevel="0" collapsed="false">
      <c r="A15" s="53"/>
      <c r="B15" s="53"/>
      <c r="C15" s="53"/>
      <c r="D15" s="53"/>
      <c r="E15" s="66"/>
      <c r="F15" s="65" t="n">
        <v>0.67</v>
      </c>
      <c r="G15" s="49" t="str">
        <f aca="false">IF(E15="","",E15*F15)</f>
        <v/>
      </c>
    </row>
    <row r="16" customFormat="false" ht="19.5" hidden="false" customHeight="true" outlineLevel="0" collapsed="false">
      <c r="A16" s="53"/>
      <c r="B16" s="53"/>
      <c r="C16" s="53"/>
      <c r="D16" s="53"/>
      <c r="E16" s="66"/>
      <c r="F16" s="65" t="n">
        <v>0.67</v>
      </c>
      <c r="G16" s="49" t="str">
        <f aca="false">IF(E16="","",E16*F16)</f>
        <v/>
      </c>
    </row>
    <row r="17" customFormat="false" ht="19.5" hidden="false" customHeight="true" outlineLevel="0" collapsed="false">
      <c r="A17" s="53"/>
      <c r="B17" s="53"/>
      <c r="C17" s="53"/>
      <c r="D17" s="53"/>
      <c r="E17" s="66"/>
      <c r="F17" s="65" t="n">
        <v>0.67</v>
      </c>
      <c r="G17" s="49" t="str">
        <f aca="false">IF(E17="","",E17*F17)</f>
        <v/>
      </c>
    </row>
    <row r="18" customFormat="false" ht="19.5" hidden="false" customHeight="true" outlineLevel="0" collapsed="false">
      <c r="A18" s="53"/>
      <c r="B18" s="53"/>
      <c r="C18" s="53"/>
      <c r="D18" s="53"/>
      <c r="E18" s="66"/>
      <c r="F18" s="65" t="n">
        <v>0.67</v>
      </c>
      <c r="G18" s="49" t="str">
        <f aca="false">IF(E18="","",E18*F18)</f>
        <v/>
      </c>
    </row>
    <row r="19" customFormat="false" ht="19.5" hidden="false" customHeight="true" outlineLevel="0" collapsed="false">
      <c r="A19" s="53"/>
      <c r="B19" s="53"/>
      <c r="C19" s="53"/>
      <c r="D19" s="53"/>
      <c r="E19" s="66"/>
      <c r="F19" s="65" t="n">
        <v>0.67</v>
      </c>
      <c r="G19" s="49" t="str">
        <f aca="false">IF(E19="","",E19*F19)</f>
        <v/>
      </c>
    </row>
    <row r="20" customFormat="false" ht="19.5" hidden="false" customHeight="true" outlineLevel="0" collapsed="false">
      <c r="A20" s="53"/>
      <c r="B20" s="53"/>
      <c r="C20" s="53"/>
      <c r="D20" s="53"/>
      <c r="E20" s="66"/>
      <c r="F20" s="65" t="n">
        <v>0.67</v>
      </c>
      <c r="G20" s="49" t="str">
        <f aca="false">IF(E20="","",E20*F20)</f>
        <v/>
      </c>
    </row>
    <row r="21" customFormat="false" ht="19.5" hidden="false" customHeight="true" outlineLevel="0" collapsed="false">
      <c r="A21" s="53"/>
      <c r="B21" s="53"/>
      <c r="C21" s="53"/>
      <c r="D21" s="53"/>
      <c r="E21" s="66"/>
      <c r="F21" s="65" t="n">
        <v>0.67</v>
      </c>
      <c r="G21" s="49" t="str">
        <f aca="false">IF(E21="","",E21*F21)</f>
        <v/>
      </c>
    </row>
    <row r="22" customFormat="false" ht="19.5" hidden="false" customHeight="true" outlineLevel="0" collapsed="false">
      <c r="A22" s="53"/>
      <c r="B22" s="53"/>
      <c r="C22" s="53"/>
      <c r="D22" s="53"/>
      <c r="E22" s="66"/>
      <c r="F22" s="65" t="n">
        <v>0.67</v>
      </c>
      <c r="G22" s="49" t="str">
        <f aca="false">IF(E22="","",E22*F22)</f>
        <v/>
      </c>
    </row>
    <row r="23" customFormat="false" ht="19.5" hidden="false" customHeight="true" outlineLevel="0" collapsed="false">
      <c r="A23" s="53"/>
      <c r="B23" s="53"/>
      <c r="C23" s="53"/>
      <c r="D23" s="53"/>
      <c r="E23" s="66"/>
      <c r="F23" s="65" t="n">
        <v>0.67</v>
      </c>
      <c r="G23" s="49" t="str">
        <f aca="false">IF(E23="","",E23*F23)</f>
        <v/>
      </c>
    </row>
    <row r="24" customFormat="false" ht="19.5" hidden="false" customHeight="true" outlineLevel="0" collapsed="false">
      <c r="A24" s="53"/>
      <c r="B24" s="53"/>
      <c r="C24" s="53"/>
      <c r="D24" s="53"/>
      <c r="E24" s="66"/>
      <c r="F24" s="65" t="n">
        <v>0.67</v>
      </c>
      <c r="G24" s="49" t="str">
        <f aca="false">IF(E24="","",E24*F24)</f>
        <v/>
      </c>
    </row>
    <row r="25" customFormat="false" ht="19.5" hidden="false" customHeight="true" outlineLevel="0" collapsed="false">
      <c r="A25" s="53"/>
      <c r="B25" s="53"/>
      <c r="C25" s="53"/>
      <c r="D25" s="53"/>
      <c r="E25" s="66"/>
      <c r="F25" s="65" t="n">
        <v>0.67</v>
      </c>
      <c r="G25" s="49" t="str">
        <f aca="false">IF(E25="","",E25*F25)</f>
        <v/>
      </c>
    </row>
    <row r="26" customFormat="false" ht="19.5" hidden="false" customHeight="true" outlineLevel="0" collapsed="false">
      <c r="A26" s="53"/>
      <c r="B26" s="53"/>
      <c r="C26" s="53"/>
      <c r="D26" s="53"/>
      <c r="E26" s="66"/>
      <c r="F26" s="65" t="n">
        <v>0.67</v>
      </c>
      <c r="G26" s="49" t="str">
        <f aca="false">IF(E26="","",E26*F26)</f>
        <v/>
      </c>
    </row>
    <row r="27" customFormat="false" ht="19.5" hidden="false" customHeight="true" outlineLevel="0" collapsed="false">
      <c r="A27" s="53"/>
      <c r="B27" s="53"/>
      <c r="C27" s="53"/>
      <c r="D27" s="53"/>
      <c r="E27" s="66"/>
      <c r="F27" s="65" t="n">
        <v>0.67</v>
      </c>
      <c r="G27" s="49" t="str">
        <f aca="false">IF(E27="","",E27*F27)</f>
        <v/>
      </c>
    </row>
    <row r="28" customFormat="false" ht="19.5" hidden="false" customHeight="true" outlineLevel="0" collapsed="false">
      <c r="A28" s="53"/>
      <c r="B28" s="53"/>
      <c r="C28" s="53"/>
      <c r="D28" s="53"/>
      <c r="E28" s="66"/>
      <c r="F28" s="65" t="n">
        <v>0.67</v>
      </c>
      <c r="G28" s="49" t="str">
        <f aca="false">IF(E28="","",E28*F28)</f>
        <v/>
      </c>
    </row>
    <row r="29" customFormat="false" ht="19.5" hidden="false" customHeight="true" outlineLevel="0" collapsed="false">
      <c r="A29" s="53"/>
      <c r="B29" s="53"/>
      <c r="C29" s="53"/>
      <c r="D29" s="53"/>
      <c r="E29" s="66"/>
      <c r="F29" s="65" t="n">
        <v>0.67</v>
      </c>
      <c r="G29" s="49" t="str">
        <f aca="false">IF(E29="","",E29*F29)</f>
        <v/>
      </c>
    </row>
    <row r="30" customFormat="false" ht="19.5" hidden="false" customHeight="true" outlineLevel="0" collapsed="false">
      <c r="A30" s="53"/>
      <c r="B30" s="53"/>
      <c r="C30" s="53"/>
      <c r="D30" s="53"/>
      <c r="E30" s="66"/>
      <c r="F30" s="65" t="n">
        <v>0.67</v>
      </c>
      <c r="G30" s="49" t="str">
        <f aca="false">IF(E30="","",E30*F30)</f>
        <v/>
      </c>
    </row>
    <row r="31" customFormat="false" ht="19.5" hidden="false" customHeight="true" outlineLevel="0" collapsed="false">
      <c r="A31" s="53"/>
      <c r="B31" s="53"/>
      <c r="C31" s="53"/>
      <c r="D31" s="53"/>
      <c r="E31" s="66"/>
      <c r="F31" s="65" t="n">
        <v>0.67</v>
      </c>
      <c r="G31" s="49" t="str">
        <f aca="false">IF(E31="","",E31*F31)</f>
        <v/>
      </c>
    </row>
    <row r="32" customFormat="false" ht="19.5" hidden="false" customHeight="true" outlineLevel="0" collapsed="false">
      <c r="A32" s="53"/>
      <c r="B32" s="53"/>
      <c r="C32" s="53"/>
      <c r="D32" s="53"/>
      <c r="E32" s="66"/>
      <c r="F32" s="65" t="n">
        <v>0.67</v>
      </c>
      <c r="G32" s="49" t="str">
        <f aca="false">IF(E32="","",E32*F32)</f>
        <v/>
      </c>
    </row>
    <row r="33" customFormat="false" ht="19.5" hidden="false" customHeight="true" outlineLevel="0" collapsed="false">
      <c r="A33" s="53"/>
      <c r="B33" s="53"/>
      <c r="C33" s="53"/>
      <c r="D33" s="53"/>
      <c r="E33" s="66"/>
      <c r="F33" s="65" t="n">
        <v>0.67</v>
      </c>
      <c r="G33" s="49" t="str">
        <f aca="false">IF(E33="","",E33*F33)</f>
        <v/>
      </c>
    </row>
    <row r="34" customFormat="false" ht="19.5" hidden="false" customHeight="true" outlineLevel="0" collapsed="false">
      <c r="A34" s="53"/>
      <c r="B34" s="53"/>
      <c r="C34" s="53"/>
      <c r="D34" s="53"/>
      <c r="E34" s="66"/>
      <c r="F34" s="65" t="n">
        <v>0.67</v>
      </c>
      <c r="G34" s="49" t="str">
        <f aca="false">IF(E34="","",E34*F34)</f>
        <v/>
      </c>
    </row>
    <row r="35" customFormat="false" ht="19.5" hidden="false" customHeight="true" outlineLevel="0" collapsed="false">
      <c r="A35" s="53"/>
      <c r="B35" s="53"/>
      <c r="C35" s="53"/>
      <c r="D35" s="53"/>
      <c r="E35" s="66"/>
      <c r="F35" s="65" t="n">
        <v>0.67</v>
      </c>
      <c r="G35" s="49" t="str">
        <f aca="false">IF(E35="","",E35*F35)</f>
        <v/>
      </c>
    </row>
    <row r="36" customFormat="false" ht="19.5" hidden="false" customHeight="true" outlineLevel="0" collapsed="false">
      <c r="A36" s="53"/>
      <c r="B36" s="53"/>
      <c r="C36" s="53"/>
      <c r="D36" s="53"/>
      <c r="E36" s="66"/>
      <c r="F36" s="65" t="n">
        <v>0.67</v>
      </c>
      <c r="G36" s="49" t="str">
        <f aca="false">IF(E36="","",E36*F36)</f>
        <v/>
      </c>
    </row>
    <row r="37" customFormat="false" ht="19.5" hidden="false" customHeight="true" outlineLevel="0" collapsed="false">
      <c r="A37" s="53"/>
      <c r="B37" s="53"/>
      <c r="C37" s="53"/>
      <c r="D37" s="53"/>
      <c r="E37" s="66"/>
      <c r="F37" s="65" t="n">
        <v>0.67</v>
      </c>
      <c r="G37" s="49" t="str">
        <f aca="false">IF(E37="","",E37*F37)</f>
        <v/>
      </c>
    </row>
    <row r="38" customFormat="false" ht="19.5" hidden="false" customHeight="true" outlineLevel="0" collapsed="false">
      <c r="A38" s="53"/>
      <c r="B38" s="53"/>
      <c r="C38" s="53"/>
      <c r="D38" s="53"/>
      <c r="E38" s="66"/>
      <c r="F38" s="65" t="n">
        <v>0.67</v>
      </c>
      <c r="G38" s="49" t="str">
        <f aca="false">IF(E38="","",E38*F38)</f>
        <v/>
      </c>
    </row>
    <row r="39" customFormat="false" ht="19.5" hidden="false" customHeight="true" outlineLevel="0" collapsed="false">
      <c r="A39" s="53"/>
      <c r="B39" s="53"/>
      <c r="C39" s="53"/>
      <c r="D39" s="53"/>
      <c r="E39" s="66"/>
      <c r="F39" s="65" t="n">
        <v>0.67</v>
      </c>
      <c r="G39" s="49" t="str">
        <f aca="false">IF(E39="","",E39*F39)</f>
        <v/>
      </c>
    </row>
    <row r="40" customFormat="false" ht="19.5" hidden="false" customHeight="true" outlineLevel="0" collapsed="false">
      <c r="A40" s="53"/>
      <c r="B40" s="53"/>
      <c r="C40" s="53"/>
      <c r="D40" s="53"/>
      <c r="E40" s="66"/>
      <c r="F40" s="65" t="n">
        <v>0.67</v>
      </c>
      <c r="G40" s="49" t="str">
        <f aca="false">IF(E40="","",E40*F40)</f>
        <v/>
      </c>
    </row>
    <row r="41" customFormat="false" ht="19.5" hidden="false" customHeight="true" outlineLevel="0" collapsed="false">
      <c r="A41" s="53"/>
      <c r="B41" s="53"/>
      <c r="C41" s="53"/>
      <c r="D41" s="53"/>
      <c r="E41" s="66"/>
      <c r="F41" s="65" t="n">
        <v>0.67</v>
      </c>
      <c r="G41" s="49" t="str">
        <f aca="false">IF(E41="","",E41*F41)</f>
        <v/>
      </c>
    </row>
    <row r="42" customFormat="false" ht="19.5" hidden="false" customHeight="true" outlineLevel="0" collapsed="false">
      <c r="A42" s="53"/>
      <c r="B42" s="53"/>
      <c r="C42" s="53"/>
      <c r="D42" s="53"/>
      <c r="E42" s="66"/>
      <c r="F42" s="65" t="n">
        <v>0.67</v>
      </c>
      <c r="G42" s="49" t="str">
        <f aca="false">IF(E42="","",E42*F42)</f>
        <v/>
      </c>
    </row>
    <row r="43" customFormat="false" ht="19.5" hidden="false" customHeight="true" outlineLevel="0" collapsed="false">
      <c r="A43" s="53"/>
      <c r="B43" s="53"/>
      <c r="C43" s="53"/>
      <c r="D43" s="53"/>
      <c r="E43" s="66"/>
      <c r="F43" s="65" t="n">
        <v>0.67</v>
      </c>
      <c r="G43" s="49" t="str">
        <f aca="false">IF(E43="","",E43*F43)</f>
        <v/>
      </c>
    </row>
    <row r="44" customFormat="false" ht="19.5" hidden="false" customHeight="true" outlineLevel="0" collapsed="false">
      <c r="A44" s="53"/>
      <c r="B44" s="53"/>
      <c r="C44" s="53"/>
      <c r="D44" s="53"/>
      <c r="E44" s="66"/>
      <c r="F44" s="65" t="n">
        <v>0.67</v>
      </c>
      <c r="G44" s="49" t="str">
        <f aca="false">IF(E44="","",E44*F44)</f>
        <v/>
      </c>
    </row>
    <row r="45" customFormat="false" ht="19.5" hidden="false" customHeight="true" outlineLevel="0" collapsed="false">
      <c r="A45" s="53"/>
      <c r="B45" s="53"/>
      <c r="C45" s="53"/>
      <c r="D45" s="53"/>
      <c r="E45" s="66"/>
      <c r="F45" s="65" t="n">
        <v>0.67</v>
      </c>
      <c r="G45" s="49" t="str">
        <f aca="false">IF(E45="","",E45*F45)</f>
        <v/>
      </c>
    </row>
    <row r="46" customFormat="false" ht="19.5" hidden="false" customHeight="true" outlineLevel="0" collapsed="false">
      <c r="A46" s="53"/>
      <c r="B46" s="53"/>
      <c r="C46" s="53"/>
      <c r="D46" s="53"/>
      <c r="E46" s="66"/>
      <c r="F46" s="65" t="n">
        <v>0.67</v>
      </c>
      <c r="G46" s="49" t="str">
        <f aca="false">IF(E46="","",E46*F46)</f>
        <v/>
      </c>
    </row>
    <row r="47" customFormat="false" ht="19.5" hidden="false" customHeight="true" outlineLevel="0" collapsed="false">
      <c r="A47" s="53"/>
      <c r="B47" s="53"/>
      <c r="C47" s="53"/>
      <c r="D47" s="53"/>
      <c r="E47" s="66"/>
      <c r="F47" s="65" t="n">
        <v>0.67</v>
      </c>
      <c r="G47" s="49" t="str">
        <f aca="false">IF(E47="","",E47*F47)</f>
        <v/>
      </c>
    </row>
    <row r="48" customFormat="false" ht="19.5" hidden="false" customHeight="true" outlineLevel="0" collapsed="false">
      <c r="A48" s="53"/>
      <c r="B48" s="53"/>
      <c r="C48" s="53"/>
      <c r="D48" s="53"/>
      <c r="E48" s="66"/>
      <c r="F48" s="65" t="n">
        <v>0.67</v>
      </c>
      <c r="G48" s="49" t="str">
        <f aca="false">IF(E48="","",E48*F48)</f>
        <v/>
      </c>
    </row>
    <row r="49" customFormat="false" ht="19.5" hidden="false" customHeight="true" outlineLevel="0" collapsed="false">
      <c r="A49" s="53"/>
      <c r="B49" s="53"/>
      <c r="C49" s="53"/>
      <c r="D49" s="53"/>
      <c r="E49" s="66"/>
      <c r="F49" s="65" t="n">
        <v>0.67</v>
      </c>
      <c r="G49" s="49" t="str">
        <f aca="false">IF(E49="","",E49*F49)</f>
        <v/>
      </c>
    </row>
    <row r="50" customFormat="false" ht="19.5" hidden="false" customHeight="true" outlineLevel="0" collapsed="false">
      <c r="A50" s="53"/>
      <c r="B50" s="53"/>
      <c r="C50" s="53"/>
      <c r="D50" s="53"/>
      <c r="E50" s="66"/>
      <c r="F50" s="65" t="n">
        <v>0.67</v>
      </c>
      <c r="G50" s="49" t="str">
        <f aca="false">IF(E50="","",E50*F50)</f>
        <v/>
      </c>
    </row>
    <row r="51" customFormat="false" ht="19.5" hidden="false" customHeight="true" outlineLevel="0" collapsed="false">
      <c r="A51" s="53"/>
      <c r="B51" s="53"/>
      <c r="C51" s="53"/>
      <c r="D51" s="53"/>
      <c r="E51" s="66"/>
      <c r="F51" s="65" t="n">
        <v>0.67</v>
      </c>
      <c r="G51" s="49" t="str">
        <f aca="false">IF(E51="","",E51*F51)</f>
        <v/>
      </c>
    </row>
    <row r="52" customFormat="false" ht="27.75" hidden="false" customHeight="true" outlineLevel="0" collapsed="false">
      <c r="A52" s="57" t="s">
        <v>204</v>
      </c>
      <c r="B52" s="57"/>
      <c r="C52" s="57"/>
      <c r="D52" s="57"/>
      <c r="E52" s="67" t="n">
        <f aca="false">SUM(E7:E51)</f>
        <v>83.2</v>
      </c>
      <c r="F52" s="67"/>
      <c r="G52" s="58" t="n">
        <f aca="false">SUM(G7:G51)</f>
        <v>55.744</v>
      </c>
    </row>
    <row r="53" customFormat="false" ht="15.75" hidden="false" customHeight="true" outlineLevel="0" collapsed="false"/>
    <row r="54" customFormat="false" ht="24" hidden="false" customHeight="true" outlineLevel="0" collapsed="false">
      <c r="A54" s="38" t="s">
        <v>205</v>
      </c>
      <c r="B54" s="38"/>
      <c r="C54" s="38"/>
      <c r="D54" s="38"/>
      <c r="E54" s="38"/>
      <c r="F54" s="38"/>
      <c r="G54" s="38"/>
    </row>
    <row r="55" customFormat="false" ht="7.5" hidden="false" customHeight="true" outlineLevel="0" collapsed="false"/>
    <row r="56" customFormat="false" ht="21.75" hidden="false" customHeight="true" outlineLevel="0" collapsed="false">
      <c r="A56" s="68" t="s">
        <v>75</v>
      </c>
      <c r="B56" s="68"/>
      <c r="C56" s="68"/>
      <c r="D56" s="68"/>
      <c r="E56" s="69" t="n">
        <f aca="false">'⚙ Settings'!C27</f>
        <v>200</v>
      </c>
      <c r="F56" s="69"/>
      <c r="G56" s="69"/>
    </row>
    <row r="57" customFormat="false" ht="21.75" hidden="false" customHeight="true" outlineLevel="0" collapsed="false">
      <c r="A57" s="68" t="s">
        <v>76</v>
      </c>
      <c r="B57" s="68"/>
      <c r="C57" s="68"/>
      <c r="D57" s="68"/>
      <c r="E57" s="69" t="n">
        <f aca="false">'⚙ Settings'!C28</f>
        <v>1200</v>
      </c>
      <c r="F57" s="69"/>
      <c r="G57" s="69"/>
    </row>
    <row r="58" customFormat="false" ht="21.75" hidden="false" customHeight="true" outlineLevel="0" collapsed="false">
      <c r="A58" s="68" t="s">
        <v>206</v>
      </c>
      <c r="B58" s="68"/>
      <c r="C58" s="68"/>
      <c r="D58" s="68"/>
      <c r="E58" s="70" t="n">
        <f aca="false">IFERROR(E56/E57,0)</f>
        <v>0.166666666666667</v>
      </c>
      <c r="F58" s="70"/>
      <c r="G58" s="70"/>
    </row>
    <row r="59" customFormat="false" ht="21.75" hidden="false" customHeight="true" outlineLevel="0" collapsed="false">
      <c r="A59" s="68" t="s">
        <v>77</v>
      </c>
      <c r="B59" s="68"/>
      <c r="C59" s="68"/>
      <c r="D59" s="68"/>
      <c r="E59" s="71" t="n">
        <f aca="false">'⚙ Settings'!C29</f>
        <v>2500</v>
      </c>
      <c r="F59" s="71"/>
      <c r="G59" s="71"/>
    </row>
    <row r="60" customFormat="false" ht="21.75" hidden="false" customHeight="true" outlineLevel="0" collapsed="false">
      <c r="A60" s="68" t="s">
        <v>78</v>
      </c>
      <c r="B60" s="68"/>
      <c r="C60" s="68"/>
      <c r="D60" s="68"/>
      <c r="E60" s="71" t="n">
        <f aca="false">'⚙ Settings'!C30</f>
        <v>150</v>
      </c>
      <c r="F60" s="71"/>
      <c r="G60" s="71"/>
    </row>
    <row r="61" customFormat="false" ht="21.75" hidden="false" customHeight="true" outlineLevel="0" collapsed="false">
      <c r="A61" s="68" t="s">
        <v>207</v>
      </c>
      <c r="B61" s="68"/>
      <c r="C61" s="68"/>
      <c r="D61" s="68"/>
      <c r="E61" s="71" t="n">
        <f aca="false">(E59+E60)*12</f>
        <v>31800</v>
      </c>
      <c r="F61" s="71"/>
      <c r="G61" s="71"/>
    </row>
    <row r="62" customFormat="false" ht="21.75" hidden="false" customHeight="true" outlineLevel="0" collapsed="false">
      <c r="A62" s="72" t="s">
        <v>208</v>
      </c>
      <c r="B62" s="72"/>
      <c r="C62" s="72"/>
      <c r="D62" s="72"/>
      <c r="E62" s="73" t="n">
        <f aca="false">E58*E61</f>
        <v>5300</v>
      </c>
      <c r="F62" s="73"/>
      <c r="G62" s="73"/>
    </row>
  </sheetData>
  <mergeCells count="20">
    <mergeCell ref="A1:G2"/>
    <mergeCell ref="A3:G3"/>
    <mergeCell ref="A4:G4"/>
    <mergeCell ref="A52:D52"/>
    <mergeCell ref="E52:F52"/>
    <mergeCell ref="A54:G54"/>
    <mergeCell ref="A56:D56"/>
    <mergeCell ref="E56:G56"/>
    <mergeCell ref="A57:D57"/>
    <mergeCell ref="E57:G57"/>
    <mergeCell ref="A58:D58"/>
    <mergeCell ref="E58:G58"/>
    <mergeCell ref="A59:D59"/>
    <mergeCell ref="E59:G59"/>
    <mergeCell ref="A60:D60"/>
    <mergeCell ref="E60:G60"/>
    <mergeCell ref="A61:D61"/>
    <mergeCell ref="E61:G61"/>
    <mergeCell ref="A62:D62"/>
    <mergeCell ref="E62:G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838"/>
    <pageSetUpPr fitToPage="false"/>
  </sheetPr>
  <dimension ref="A1:I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20"/>
    <col collapsed="false" customWidth="true" hidden="false" outlineLevel="0" max="5" min="4" style="1" width="12"/>
    <col collapsed="false" customWidth="true" hidden="false" outlineLevel="0" max="6" min="6" style="1" width="14"/>
    <col collapsed="false" customWidth="true" hidden="false" outlineLevel="0" max="8" min="7" style="1" width="12"/>
    <col collapsed="false" customWidth="true" hidden="false" outlineLevel="0" max="9" min="9" style="1" width="14"/>
  </cols>
  <sheetData>
    <row r="1" customFormat="false" ht="21.75" hidden="false" customHeight="true" outlineLevel="0" collapsed="false">
      <c r="A1" s="36" t="s">
        <v>209</v>
      </c>
      <c r="B1" s="36"/>
      <c r="C1" s="36"/>
      <c r="D1" s="36"/>
      <c r="E1" s="36"/>
      <c r="F1" s="36"/>
      <c r="G1" s="36"/>
      <c r="H1" s="36"/>
      <c r="I1" s="36"/>
    </row>
    <row r="2" customFormat="false" ht="21.75" hidden="false" customHeight="true" outlineLevel="0" collapsed="false">
      <c r="A2" s="36"/>
      <c r="B2" s="36"/>
      <c r="C2" s="36"/>
      <c r="D2" s="36"/>
      <c r="E2" s="36"/>
      <c r="F2" s="36"/>
      <c r="G2" s="36"/>
      <c r="H2" s="36"/>
      <c r="I2" s="36"/>
    </row>
    <row r="3" customFormat="false" ht="18" hidden="false" customHeight="true" outlineLevel="0" collapsed="false">
      <c r="A3" s="37" t="s">
        <v>210</v>
      </c>
      <c r="B3" s="37"/>
      <c r="C3" s="37"/>
      <c r="D3" s="37"/>
      <c r="E3" s="37"/>
      <c r="F3" s="37"/>
      <c r="G3" s="37"/>
      <c r="H3" s="37"/>
      <c r="I3" s="37"/>
    </row>
    <row r="4" customFormat="false" ht="25.5" hidden="false" customHeight="true" outlineLevel="0" collapsed="false">
      <c r="A4" s="43" t="s">
        <v>85</v>
      </c>
      <c r="B4" s="43" t="s">
        <v>82</v>
      </c>
      <c r="C4" s="43" t="s">
        <v>138</v>
      </c>
      <c r="D4" s="43" t="s">
        <v>211</v>
      </c>
      <c r="E4" s="43" t="s">
        <v>212</v>
      </c>
      <c r="F4" s="43" t="s">
        <v>86</v>
      </c>
      <c r="G4" s="43" t="s">
        <v>213</v>
      </c>
      <c r="H4" s="43" t="s">
        <v>214</v>
      </c>
      <c r="I4" s="43" t="s">
        <v>215</v>
      </c>
    </row>
    <row r="5" customFormat="false" ht="19.5" hidden="false" customHeight="true" outlineLevel="0" collapsed="false">
      <c r="A5" s="47" t="s">
        <v>94</v>
      </c>
      <c r="B5" s="46" t="s">
        <v>91</v>
      </c>
      <c r="C5" s="45" t="s">
        <v>216</v>
      </c>
      <c r="D5" s="44" t="s">
        <v>217</v>
      </c>
      <c r="E5" s="44" t="s">
        <v>218</v>
      </c>
      <c r="F5" s="48" t="n">
        <v>3500</v>
      </c>
      <c r="G5" s="44" t="s">
        <v>219</v>
      </c>
      <c r="H5" s="74" t="s">
        <v>220</v>
      </c>
      <c r="I5" s="75" t="str">
        <f aca="true">IF(H5="Paid","✓",IF(E5="","",IF(TODAY()&gt;E5,TODAY()-E5,"On time")))</f>
        <v>✓</v>
      </c>
    </row>
    <row r="6" customFormat="false" ht="19.5" hidden="false" customHeight="true" outlineLevel="0" collapsed="false">
      <c r="A6" s="47" t="s">
        <v>100</v>
      </c>
      <c r="B6" s="46" t="s">
        <v>97</v>
      </c>
      <c r="C6" s="45" t="s">
        <v>221</v>
      </c>
      <c r="D6" s="44" t="s">
        <v>188</v>
      </c>
      <c r="E6" s="44" t="s">
        <v>222</v>
      </c>
      <c r="F6" s="48" t="n">
        <v>5000</v>
      </c>
      <c r="G6" s="44" t="s">
        <v>195</v>
      </c>
      <c r="H6" s="74" t="s">
        <v>220</v>
      </c>
      <c r="I6" s="75" t="str">
        <f aca="true">IF(H6="Paid","✓",IF(E6="","",IF(TODAY()&gt;E6,TODAY()-E6,"On time")))</f>
        <v>✓</v>
      </c>
    </row>
    <row r="7" customFormat="false" ht="19.5" hidden="false" customHeight="true" outlineLevel="0" collapsed="false">
      <c r="A7" s="47" t="s">
        <v>107</v>
      </c>
      <c r="B7" s="46" t="s">
        <v>104</v>
      </c>
      <c r="C7" s="45" t="s">
        <v>223</v>
      </c>
      <c r="D7" s="44" t="s">
        <v>152</v>
      </c>
      <c r="E7" s="44" t="s">
        <v>112</v>
      </c>
      <c r="F7" s="48" t="n">
        <v>1200</v>
      </c>
      <c r="G7" s="44" t="s">
        <v>162</v>
      </c>
      <c r="H7" s="74" t="s">
        <v>220</v>
      </c>
      <c r="I7" s="75" t="str">
        <f aca="true">IF(H7="Paid","✓",IF(E7="","",IF(TODAY()&gt;E7,TODAY()-E7,"On time")))</f>
        <v>✓</v>
      </c>
    </row>
    <row r="8" customFormat="false" ht="19.5" hidden="false" customHeight="true" outlineLevel="0" collapsed="false">
      <c r="A8" s="47" t="s">
        <v>111</v>
      </c>
      <c r="B8" s="46" t="s">
        <v>91</v>
      </c>
      <c r="C8" s="45" t="s">
        <v>110</v>
      </c>
      <c r="D8" s="44" t="s">
        <v>157</v>
      </c>
      <c r="E8" s="44" t="s">
        <v>224</v>
      </c>
      <c r="F8" s="48" t="n">
        <v>800</v>
      </c>
      <c r="G8" s="44" t="s">
        <v>117</v>
      </c>
      <c r="H8" s="74" t="s">
        <v>220</v>
      </c>
      <c r="I8" s="75" t="str">
        <f aca="true">IF(H8="Paid","✓",IF(E8="","",IF(TODAY()&gt;E8,TODAY()-E8,"On time")))</f>
        <v>✓</v>
      </c>
    </row>
    <row r="9" customFormat="false" ht="19.5" hidden="false" customHeight="true" outlineLevel="0" collapsed="false">
      <c r="A9" s="47" t="s">
        <v>115</v>
      </c>
      <c r="B9" s="46" t="s">
        <v>113</v>
      </c>
      <c r="C9" s="45" t="s">
        <v>225</v>
      </c>
      <c r="D9" s="44" t="s">
        <v>226</v>
      </c>
      <c r="E9" s="44" t="s">
        <v>227</v>
      </c>
      <c r="F9" s="48" t="n">
        <v>2200</v>
      </c>
      <c r="G9" s="46"/>
      <c r="H9" s="76" t="s">
        <v>228</v>
      </c>
      <c r="I9" s="75" t="str">
        <f aca="true">IF(H9="Paid","✓",IF(E9="","",IF(TODAY()&gt;E9,TODAY()-E9,"On time")))</f>
        <v>On time</v>
      </c>
    </row>
    <row r="10" customFormat="false" ht="19.5" hidden="false" customHeight="true" outlineLevel="0" collapsed="false">
      <c r="A10" s="47" t="s">
        <v>119</v>
      </c>
      <c r="B10" s="46" t="s">
        <v>97</v>
      </c>
      <c r="C10" s="45" t="s">
        <v>229</v>
      </c>
      <c r="D10" s="44" t="s">
        <v>230</v>
      </c>
      <c r="E10" s="44" t="s">
        <v>231</v>
      </c>
      <c r="F10" s="48" t="n">
        <v>5000</v>
      </c>
      <c r="G10" s="44" t="s">
        <v>169</v>
      </c>
      <c r="H10" s="74" t="s">
        <v>220</v>
      </c>
      <c r="I10" s="75" t="str">
        <f aca="true">IF(H10="Paid","✓",IF(E10="","",IF(TODAY()&gt;E10,TODAY()-E10,"On time")))</f>
        <v>✓</v>
      </c>
    </row>
    <row r="11" customFormat="false" ht="19.5" hidden="false" customHeight="true" outlineLevel="0" collapsed="false">
      <c r="A11" s="47" t="s">
        <v>125</v>
      </c>
      <c r="B11" s="46" t="s">
        <v>122</v>
      </c>
      <c r="C11" s="45" t="s">
        <v>232</v>
      </c>
      <c r="D11" s="44" t="s">
        <v>167</v>
      </c>
      <c r="E11" s="44" t="s">
        <v>233</v>
      </c>
      <c r="F11" s="48" t="n">
        <v>1800</v>
      </c>
      <c r="G11" s="46"/>
      <c r="H11" s="77" t="s">
        <v>234</v>
      </c>
      <c r="I11" s="75" t="str">
        <f aca="true">IF(H11="Paid","✓",IF(E11="","",IF(TODAY()&gt;E11,TODAY()-E11,"On time")))</f>
        <v>On time</v>
      </c>
    </row>
    <row r="12" customFormat="false" ht="19.5" hidden="false" customHeight="true" outlineLevel="0" collapsed="false">
      <c r="A12" s="47" t="s">
        <v>128</v>
      </c>
      <c r="B12" s="46" t="s">
        <v>104</v>
      </c>
      <c r="C12" s="45" t="s">
        <v>235</v>
      </c>
      <c r="D12" s="44" t="s">
        <v>236</v>
      </c>
      <c r="E12" s="44" t="s">
        <v>237</v>
      </c>
      <c r="F12" s="48" t="n">
        <v>1200</v>
      </c>
      <c r="G12" s="46"/>
      <c r="H12" s="77" t="s">
        <v>234</v>
      </c>
      <c r="I12" s="75" t="str">
        <f aca="true">IF(H12="Paid","✓",IF(E12="","",IF(TODAY()&gt;E12,TODAY()-E12,"On time")))</f>
        <v>On time</v>
      </c>
    </row>
    <row r="13" customFormat="false" ht="19.5" hidden="false" customHeight="true" outlineLevel="0" collapsed="false">
      <c r="A13" s="47" t="s">
        <v>133</v>
      </c>
      <c r="B13" s="46" t="s">
        <v>130</v>
      </c>
      <c r="C13" s="45" t="s">
        <v>132</v>
      </c>
      <c r="D13" s="44" t="s">
        <v>238</v>
      </c>
      <c r="E13" s="44" t="s">
        <v>239</v>
      </c>
      <c r="F13" s="48" t="n">
        <v>4500</v>
      </c>
      <c r="G13" s="46"/>
      <c r="H13" s="77" t="s">
        <v>234</v>
      </c>
      <c r="I13" s="75" t="str">
        <f aca="true">IF(H13="Paid","✓",IF(E13="","",IF(TODAY()&gt;E13,TODAY()-E13,"On time")))</f>
        <v>On time</v>
      </c>
    </row>
    <row r="14" customFormat="false" ht="19.5" hidden="false" customHeight="true" outlineLevel="0" collapsed="false">
      <c r="A14" s="56"/>
      <c r="B14" s="53"/>
      <c r="C14" s="53"/>
      <c r="D14" s="53"/>
      <c r="E14" s="53"/>
      <c r="F14" s="55"/>
      <c r="G14" s="53"/>
      <c r="H14" s="56"/>
      <c r="I14" s="75" t="str">
        <f aca="true">IF(H14="Paid","✓",IF(E14="","",IF(TODAY()&gt;E14,TODAY()-E14,"On time")))</f>
        <v/>
      </c>
    </row>
    <row r="15" customFormat="false" ht="19.5" hidden="false" customHeight="true" outlineLevel="0" collapsed="false">
      <c r="A15" s="56"/>
      <c r="B15" s="53"/>
      <c r="C15" s="53"/>
      <c r="D15" s="53"/>
      <c r="E15" s="53"/>
      <c r="F15" s="55"/>
      <c r="G15" s="53"/>
      <c r="H15" s="56"/>
      <c r="I15" s="75" t="str">
        <f aca="true">IF(H15="Paid","✓",IF(E15="","",IF(TODAY()&gt;E15,TODAY()-E15,"On time")))</f>
        <v/>
      </c>
    </row>
    <row r="16" customFormat="false" ht="19.5" hidden="false" customHeight="true" outlineLevel="0" collapsed="false">
      <c r="A16" s="56"/>
      <c r="B16" s="53"/>
      <c r="C16" s="53"/>
      <c r="D16" s="53"/>
      <c r="E16" s="53"/>
      <c r="F16" s="55"/>
      <c r="G16" s="53"/>
      <c r="H16" s="56"/>
      <c r="I16" s="75" t="str">
        <f aca="true">IF(H16="Paid","✓",IF(E16="","",IF(TODAY()&gt;E16,TODAY()-E16,"On time")))</f>
        <v/>
      </c>
    </row>
    <row r="17" customFormat="false" ht="19.5" hidden="false" customHeight="true" outlineLevel="0" collapsed="false">
      <c r="A17" s="56"/>
      <c r="B17" s="53"/>
      <c r="C17" s="53"/>
      <c r="D17" s="53"/>
      <c r="E17" s="53"/>
      <c r="F17" s="55"/>
      <c r="G17" s="53"/>
      <c r="H17" s="56"/>
      <c r="I17" s="75" t="str">
        <f aca="true">IF(H17="Paid","✓",IF(E17="","",IF(TODAY()&gt;E17,TODAY()-E17,"On time")))</f>
        <v/>
      </c>
    </row>
    <row r="18" customFormat="false" ht="19.5" hidden="false" customHeight="true" outlineLevel="0" collapsed="false">
      <c r="A18" s="56"/>
      <c r="B18" s="53"/>
      <c r="C18" s="53"/>
      <c r="D18" s="53"/>
      <c r="E18" s="53"/>
      <c r="F18" s="55"/>
      <c r="G18" s="53"/>
      <c r="H18" s="56"/>
      <c r="I18" s="75" t="str">
        <f aca="true">IF(H18="Paid","✓",IF(E18="","",IF(TODAY()&gt;E18,TODAY()-E18,"On time")))</f>
        <v/>
      </c>
    </row>
    <row r="19" customFormat="false" ht="19.5" hidden="false" customHeight="true" outlineLevel="0" collapsed="false">
      <c r="A19" s="56"/>
      <c r="B19" s="53"/>
      <c r="C19" s="53"/>
      <c r="D19" s="53"/>
      <c r="E19" s="53"/>
      <c r="F19" s="55"/>
      <c r="G19" s="53"/>
      <c r="H19" s="56"/>
      <c r="I19" s="75" t="str">
        <f aca="true">IF(H19="Paid","✓",IF(E19="","",IF(TODAY()&gt;E19,TODAY()-E19,"On time")))</f>
        <v/>
      </c>
    </row>
    <row r="20" customFormat="false" ht="19.5" hidden="false" customHeight="true" outlineLevel="0" collapsed="false">
      <c r="A20" s="56"/>
      <c r="B20" s="53"/>
      <c r="C20" s="53"/>
      <c r="D20" s="53"/>
      <c r="E20" s="53"/>
      <c r="F20" s="55"/>
      <c r="G20" s="53"/>
      <c r="H20" s="56"/>
      <c r="I20" s="75" t="str">
        <f aca="true">IF(H20="Paid","✓",IF(E20="","",IF(TODAY()&gt;E20,TODAY()-E20,"On time")))</f>
        <v/>
      </c>
    </row>
    <row r="21" customFormat="false" ht="19.5" hidden="false" customHeight="true" outlineLevel="0" collapsed="false">
      <c r="A21" s="56"/>
      <c r="B21" s="53"/>
      <c r="C21" s="53"/>
      <c r="D21" s="53"/>
      <c r="E21" s="53"/>
      <c r="F21" s="55"/>
      <c r="G21" s="53"/>
      <c r="H21" s="56"/>
      <c r="I21" s="75" t="str">
        <f aca="true">IF(H21="Paid","✓",IF(E21="","",IF(TODAY()&gt;E21,TODAY()-E21,"On time")))</f>
        <v/>
      </c>
    </row>
    <row r="22" customFormat="false" ht="19.5" hidden="false" customHeight="true" outlineLevel="0" collapsed="false">
      <c r="A22" s="56"/>
      <c r="B22" s="53"/>
      <c r="C22" s="53"/>
      <c r="D22" s="53"/>
      <c r="E22" s="53"/>
      <c r="F22" s="55"/>
      <c r="G22" s="53"/>
      <c r="H22" s="56"/>
      <c r="I22" s="75" t="str">
        <f aca="true">IF(H22="Paid","✓",IF(E22="","",IF(TODAY()&gt;E22,TODAY()-E22,"On time")))</f>
        <v/>
      </c>
    </row>
    <row r="23" customFormat="false" ht="19.5" hidden="false" customHeight="true" outlineLevel="0" collapsed="false">
      <c r="A23" s="56"/>
      <c r="B23" s="53"/>
      <c r="C23" s="53"/>
      <c r="D23" s="53"/>
      <c r="E23" s="53"/>
      <c r="F23" s="55"/>
      <c r="G23" s="53"/>
      <c r="H23" s="56"/>
      <c r="I23" s="75" t="str">
        <f aca="true">IF(H23="Paid","✓",IF(E23="","",IF(TODAY()&gt;E23,TODAY()-E23,"On time")))</f>
        <v/>
      </c>
    </row>
    <row r="24" customFormat="false" ht="19.5" hidden="false" customHeight="true" outlineLevel="0" collapsed="false">
      <c r="A24" s="56"/>
      <c r="B24" s="53"/>
      <c r="C24" s="53"/>
      <c r="D24" s="53"/>
      <c r="E24" s="53"/>
      <c r="F24" s="55"/>
      <c r="G24" s="53"/>
      <c r="H24" s="56"/>
      <c r="I24" s="75" t="str">
        <f aca="true">IF(H24="Paid","✓",IF(E24="","",IF(TODAY()&gt;E24,TODAY()-E24,"On time")))</f>
        <v/>
      </c>
    </row>
    <row r="25" customFormat="false" ht="19.5" hidden="false" customHeight="true" outlineLevel="0" collapsed="false">
      <c r="A25" s="56"/>
      <c r="B25" s="53"/>
      <c r="C25" s="53"/>
      <c r="D25" s="53"/>
      <c r="E25" s="53"/>
      <c r="F25" s="55"/>
      <c r="G25" s="53"/>
      <c r="H25" s="56"/>
      <c r="I25" s="75" t="str">
        <f aca="true">IF(H25="Paid","✓",IF(E25="","",IF(TODAY()&gt;E25,TODAY()-E25,"On time")))</f>
        <v/>
      </c>
    </row>
    <row r="26" customFormat="false" ht="19.5" hidden="false" customHeight="true" outlineLevel="0" collapsed="false">
      <c r="A26" s="56"/>
      <c r="B26" s="53"/>
      <c r="C26" s="53"/>
      <c r="D26" s="53"/>
      <c r="E26" s="53"/>
      <c r="F26" s="55"/>
      <c r="G26" s="53"/>
      <c r="H26" s="56"/>
      <c r="I26" s="75" t="str">
        <f aca="true">IF(H26="Paid","✓",IF(E26="","",IF(TODAY()&gt;E26,TODAY()-E26,"On time")))</f>
        <v/>
      </c>
    </row>
    <row r="27" customFormat="false" ht="19.5" hidden="false" customHeight="true" outlineLevel="0" collapsed="false">
      <c r="A27" s="56"/>
      <c r="B27" s="53"/>
      <c r="C27" s="53"/>
      <c r="D27" s="53"/>
      <c r="E27" s="53"/>
      <c r="F27" s="55"/>
      <c r="G27" s="53"/>
      <c r="H27" s="56"/>
      <c r="I27" s="75" t="str">
        <f aca="true">IF(H27="Paid","✓",IF(E27="","",IF(TODAY()&gt;E27,TODAY()-E27,"On time")))</f>
        <v/>
      </c>
    </row>
    <row r="28" customFormat="false" ht="19.5" hidden="false" customHeight="true" outlineLevel="0" collapsed="false">
      <c r="A28" s="56"/>
      <c r="B28" s="53"/>
      <c r="C28" s="53"/>
      <c r="D28" s="53"/>
      <c r="E28" s="53"/>
      <c r="F28" s="55"/>
      <c r="G28" s="53"/>
      <c r="H28" s="56"/>
      <c r="I28" s="75" t="str">
        <f aca="true">IF(H28="Paid","✓",IF(E28="","",IF(TODAY()&gt;E28,TODAY()-E28,"On time")))</f>
        <v/>
      </c>
    </row>
    <row r="29" customFormat="false" ht="19.5" hidden="false" customHeight="true" outlineLevel="0" collapsed="false">
      <c r="A29" s="56"/>
      <c r="B29" s="53"/>
      <c r="C29" s="53"/>
      <c r="D29" s="53"/>
      <c r="E29" s="53"/>
      <c r="F29" s="55"/>
      <c r="G29" s="53"/>
      <c r="H29" s="56"/>
      <c r="I29" s="75" t="str">
        <f aca="true">IF(H29="Paid","✓",IF(E29="","",IF(TODAY()&gt;E29,TODAY()-E29,"On time")))</f>
        <v/>
      </c>
    </row>
    <row r="30" customFormat="false" ht="19.5" hidden="false" customHeight="true" outlineLevel="0" collapsed="false">
      <c r="A30" s="56"/>
      <c r="B30" s="53"/>
      <c r="C30" s="53"/>
      <c r="D30" s="53"/>
      <c r="E30" s="53"/>
      <c r="F30" s="55"/>
      <c r="G30" s="53"/>
      <c r="H30" s="56"/>
      <c r="I30" s="75" t="str">
        <f aca="true">IF(H30="Paid","✓",IF(E30="","",IF(TODAY()&gt;E30,TODAY()-E30,"On time")))</f>
        <v/>
      </c>
    </row>
    <row r="31" customFormat="false" ht="19.5" hidden="false" customHeight="true" outlineLevel="0" collapsed="false">
      <c r="A31" s="56"/>
      <c r="B31" s="53"/>
      <c r="C31" s="53"/>
      <c r="D31" s="53"/>
      <c r="E31" s="53"/>
      <c r="F31" s="55"/>
      <c r="G31" s="53"/>
      <c r="H31" s="56"/>
      <c r="I31" s="75" t="str">
        <f aca="true">IF(H31="Paid","✓",IF(E31="","",IF(TODAY()&gt;E31,TODAY()-E31,"On time")))</f>
        <v/>
      </c>
    </row>
    <row r="32" customFormat="false" ht="19.5" hidden="false" customHeight="true" outlineLevel="0" collapsed="false">
      <c r="A32" s="56"/>
      <c r="B32" s="53"/>
      <c r="C32" s="53"/>
      <c r="D32" s="53"/>
      <c r="E32" s="53"/>
      <c r="F32" s="55"/>
      <c r="G32" s="53"/>
      <c r="H32" s="56"/>
      <c r="I32" s="75" t="str">
        <f aca="true">IF(H32="Paid","✓",IF(E32="","",IF(TODAY()&gt;E32,TODAY()-E32,"On time")))</f>
        <v/>
      </c>
    </row>
    <row r="33" customFormat="false" ht="19.5" hidden="false" customHeight="true" outlineLevel="0" collapsed="false">
      <c r="A33" s="56"/>
      <c r="B33" s="53"/>
      <c r="C33" s="53"/>
      <c r="D33" s="53"/>
      <c r="E33" s="53"/>
      <c r="F33" s="55"/>
      <c r="G33" s="53"/>
      <c r="H33" s="56"/>
      <c r="I33" s="75" t="str">
        <f aca="true">IF(H33="Paid","✓",IF(E33="","",IF(TODAY()&gt;E33,TODAY()-E33,"On time")))</f>
        <v/>
      </c>
    </row>
    <row r="34" customFormat="false" ht="19.5" hidden="false" customHeight="true" outlineLevel="0" collapsed="false">
      <c r="A34" s="56"/>
      <c r="B34" s="53"/>
      <c r="C34" s="53"/>
      <c r="D34" s="53"/>
      <c r="E34" s="53"/>
      <c r="F34" s="55"/>
      <c r="G34" s="53"/>
      <c r="H34" s="56"/>
      <c r="I34" s="75" t="str">
        <f aca="true">IF(H34="Paid","✓",IF(E34="","",IF(TODAY()&gt;E34,TODAY()-E34,"On time")))</f>
        <v/>
      </c>
    </row>
    <row r="35" customFormat="false" ht="19.5" hidden="false" customHeight="true" outlineLevel="0" collapsed="false">
      <c r="A35" s="56"/>
      <c r="B35" s="53"/>
      <c r="C35" s="53"/>
      <c r="D35" s="53"/>
      <c r="E35" s="53"/>
      <c r="F35" s="55"/>
      <c r="G35" s="53"/>
      <c r="H35" s="56"/>
      <c r="I35" s="75" t="str">
        <f aca="true">IF(H35="Paid","✓",IF(E35="","",IF(TODAY()&gt;E35,TODAY()-E35,"On time")))</f>
        <v/>
      </c>
    </row>
    <row r="36" customFormat="false" ht="19.5" hidden="false" customHeight="true" outlineLevel="0" collapsed="false">
      <c r="A36" s="56"/>
      <c r="B36" s="53"/>
      <c r="C36" s="53"/>
      <c r="D36" s="53"/>
      <c r="E36" s="53"/>
      <c r="F36" s="55"/>
      <c r="G36" s="53"/>
      <c r="H36" s="56"/>
      <c r="I36" s="75" t="str">
        <f aca="true">IF(H36="Paid","✓",IF(E36="","",IF(TODAY()&gt;E36,TODAY()-E36,"On time")))</f>
        <v/>
      </c>
    </row>
    <row r="37" customFormat="false" ht="19.5" hidden="false" customHeight="true" outlineLevel="0" collapsed="false">
      <c r="A37" s="56"/>
      <c r="B37" s="53"/>
      <c r="C37" s="53"/>
      <c r="D37" s="53"/>
      <c r="E37" s="53"/>
      <c r="F37" s="55"/>
      <c r="G37" s="53"/>
      <c r="H37" s="56"/>
      <c r="I37" s="75" t="str">
        <f aca="true">IF(H37="Paid","✓",IF(E37="","",IF(TODAY()&gt;E37,TODAY()-E37,"On time")))</f>
        <v/>
      </c>
    </row>
    <row r="38" customFormat="false" ht="19.5" hidden="false" customHeight="true" outlineLevel="0" collapsed="false">
      <c r="A38" s="56"/>
      <c r="B38" s="53"/>
      <c r="C38" s="53"/>
      <c r="D38" s="53"/>
      <c r="E38" s="53"/>
      <c r="F38" s="55"/>
      <c r="G38" s="53"/>
      <c r="H38" s="56"/>
      <c r="I38" s="75" t="str">
        <f aca="true">IF(H38="Paid","✓",IF(E38="","",IF(TODAY()&gt;E38,TODAY()-E38,"On time")))</f>
        <v/>
      </c>
    </row>
    <row r="39" customFormat="false" ht="19.5" hidden="false" customHeight="true" outlineLevel="0" collapsed="false">
      <c r="A39" s="56"/>
      <c r="B39" s="53"/>
      <c r="C39" s="53"/>
      <c r="D39" s="53"/>
      <c r="E39" s="53"/>
      <c r="F39" s="55"/>
      <c r="G39" s="53"/>
      <c r="H39" s="56"/>
      <c r="I39" s="75" t="str">
        <f aca="true">IF(H39="Paid","✓",IF(E39="","",IF(TODAY()&gt;E39,TODAY()-E39,"On time")))</f>
        <v/>
      </c>
    </row>
    <row r="40" customFormat="false" ht="19.5" hidden="false" customHeight="true" outlineLevel="0" collapsed="false">
      <c r="A40" s="56"/>
      <c r="B40" s="53"/>
      <c r="C40" s="53"/>
      <c r="D40" s="53"/>
      <c r="E40" s="53"/>
      <c r="F40" s="55"/>
      <c r="G40" s="53"/>
      <c r="H40" s="56"/>
      <c r="I40" s="75" t="str">
        <f aca="true">IF(H40="Paid","✓",IF(E40="","",IF(TODAY()&gt;E40,TODAY()-E40,"On time")))</f>
        <v/>
      </c>
    </row>
    <row r="41" customFormat="false" ht="19.5" hidden="false" customHeight="true" outlineLevel="0" collapsed="false">
      <c r="A41" s="56"/>
      <c r="B41" s="53"/>
      <c r="C41" s="53"/>
      <c r="D41" s="53"/>
      <c r="E41" s="53"/>
      <c r="F41" s="55"/>
      <c r="G41" s="53"/>
      <c r="H41" s="56"/>
      <c r="I41" s="75" t="str">
        <f aca="true">IF(H41="Paid","✓",IF(E41="","",IF(TODAY()&gt;E41,TODAY()-E41,"On time")))</f>
        <v/>
      </c>
    </row>
    <row r="42" customFormat="false" ht="19.5" hidden="false" customHeight="true" outlineLevel="0" collapsed="false">
      <c r="A42" s="56"/>
      <c r="B42" s="53"/>
      <c r="C42" s="53"/>
      <c r="D42" s="53"/>
      <c r="E42" s="53"/>
      <c r="F42" s="55"/>
      <c r="G42" s="53"/>
      <c r="H42" s="56"/>
      <c r="I42" s="75" t="str">
        <f aca="true">IF(H42="Paid","✓",IF(E42="","",IF(TODAY()&gt;E42,TODAY()-E42,"On time")))</f>
        <v/>
      </c>
    </row>
    <row r="43" customFormat="false" ht="19.5" hidden="false" customHeight="true" outlineLevel="0" collapsed="false">
      <c r="A43" s="56"/>
      <c r="B43" s="53"/>
      <c r="C43" s="53"/>
      <c r="D43" s="53"/>
      <c r="E43" s="53"/>
      <c r="F43" s="55"/>
      <c r="G43" s="53"/>
      <c r="H43" s="56"/>
      <c r="I43" s="75" t="str">
        <f aca="true">IF(H43="Paid","✓",IF(E43="","",IF(TODAY()&gt;E43,TODAY()-E43,"On time")))</f>
        <v/>
      </c>
    </row>
    <row r="44" customFormat="false" ht="19.5" hidden="false" customHeight="true" outlineLevel="0" collapsed="false">
      <c r="A44" s="56"/>
      <c r="B44" s="53"/>
      <c r="C44" s="53"/>
      <c r="D44" s="53"/>
      <c r="E44" s="53"/>
      <c r="F44" s="55"/>
      <c r="G44" s="53"/>
      <c r="H44" s="56"/>
      <c r="I44" s="75" t="str">
        <f aca="true">IF(H44="Paid","✓",IF(E44="","",IF(TODAY()&gt;E44,TODAY()-E44,"On time")))</f>
        <v/>
      </c>
    </row>
    <row r="45" customFormat="false" ht="19.5" hidden="false" customHeight="true" outlineLevel="0" collapsed="false">
      <c r="A45" s="56"/>
      <c r="B45" s="53"/>
      <c r="C45" s="53"/>
      <c r="D45" s="53"/>
      <c r="E45" s="53"/>
      <c r="F45" s="55"/>
      <c r="G45" s="53"/>
      <c r="H45" s="56"/>
      <c r="I45" s="75" t="str">
        <f aca="true">IF(H45="Paid","✓",IF(E45="","",IF(TODAY()&gt;E45,TODAY()-E45,"On time")))</f>
        <v/>
      </c>
    </row>
    <row r="46" customFormat="false" ht="19.5" hidden="false" customHeight="true" outlineLevel="0" collapsed="false">
      <c r="A46" s="56"/>
      <c r="B46" s="53"/>
      <c r="C46" s="53"/>
      <c r="D46" s="53"/>
      <c r="E46" s="53"/>
      <c r="F46" s="55"/>
      <c r="G46" s="53"/>
      <c r="H46" s="56"/>
      <c r="I46" s="75" t="str">
        <f aca="true">IF(H46="Paid","✓",IF(E46="","",IF(TODAY()&gt;E46,TODAY()-E46,"On time")))</f>
        <v/>
      </c>
    </row>
    <row r="47" customFormat="false" ht="19.5" hidden="false" customHeight="true" outlineLevel="0" collapsed="false">
      <c r="A47" s="56"/>
      <c r="B47" s="53"/>
      <c r="C47" s="53"/>
      <c r="D47" s="53"/>
      <c r="E47" s="53"/>
      <c r="F47" s="55"/>
      <c r="G47" s="53"/>
      <c r="H47" s="56"/>
      <c r="I47" s="75" t="str">
        <f aca="true">IF(H47="Paid","✓",IF(E47="","",IF(TODAY()&gt;E47,TODAY()-E47,"On time")))</f>
        <v/>
      </c>
    </row>
    <row r="48" customFormat="false" ht="19.5" hidden="false" customHeight="true" outlineLevel="0" collapsed="false">
      <c r="A48" s="56"/>
      <c r="B48" s="53"/>
      <c r="C48" s="53"/>
      <c r="D48" s="53"/>
      <c r="E48" s="53"/>
      <c r="F48" s="55"/>
      <c r="G48" s="53"/>
      <c r="H48" s="56"/>
      <c r="I48" s="75" t="str">
        <f aca="true">IF(H48="Paid","✓",IF(E48="","",IF(TODAY()&gt;E48,TODAY()-E48,"On time")))</f>
        <v/>
      </c>
    </row>
    <row r="49" customFormat="false" ht="19.5" hidden="false" customHeight="true" outlineLevel="0" collapsed="false">
      <c r="A49" s="56"/>
      <c r="B49" s="53"/>
      <c r="C49" s="53"/>
      <c r="D49" s="53"/>
      <c r="E49" s="53"/>
      <c r="F49" s="55"/>
      <c r="G49" s="53"/>
      <c r="H49" s="56"/>
      <c r="I49" s="75" t="str">
        <f aca="true">IF(H49="Paid","✓",IF(E49="","",IF(TODAY()&gt;E49,TODAY()-E49,"On time")))</f>
        <v/>
      </c>
    </row>
    <row r="50" customFormat="false" ht="19.5" hidden="false" customHeight="true" outlineLevel="0" collapsed="false">
      <c r="A50" s="56"/>
      <c r="B50" s="53"/>
      <c r="C50" s="53"/>
      <c r="D50" s="53"/>
      <c r="E50" s="53"/>
      <c r="F50" s="55"/>
      <c r="G50" s="53"/>
      <c r="H50" s="56"/>
      <c r="I50" s="75" t="str">
        <f aca="true">IF(H50="Paid","✓",IF(E50="","",IF(TODAY()&gt;E50,TODAY()-E50,"On time")))</f>
        <v/>
      </c>
    </row>
    <row r="51" customFormat="false" ht="19.5" hidden="false" customHeight="true" outlineLevel="0" collapsed="false">
      <c r="A51" s="56"/>
      <c r="B51" s="53"/>
      <c r="C51" s="53"/>
      <c r="D51" s="53"/>
      <c r="E51" s="53"/>
      <c r="F51" s="55"/>
      <c r="G51" s="53"/>
      <c r="H51" s="56"/>
      <c r="I51" s="75" t="str">
        <f aca="true">IF(H51="Paid","✓",IF(E51="","",IF(TODAY()&gt;E51,TODAY()-E51,"On time")))</f>
        <v/>
      </c>
    </row>
    <row r="52" customFormat="false" ht="19.5" hidden="false" customHeight="true" outlineLevel="0" collapsed="false">
      <c r="A52" s="56"/>
      <c r="B52" s="53"/>
      <c r="C52" s="53"/>
      <c r="D52" s="53"/>
      <c r="E52" s="53"/>
      <c r="F52" s="55"/>
      <c r="G52" s="53"/>
      <c r="H52" s="56"/>
      <c r="I52" s="75" t="str">
        <f aca="true">IF(H52="Paid","✓",IF(E52="","",IF(TODAY()&gt;E52,TODAY()-E52,"On time")))</f>
        <v/>
      </c>
    </row>
    <row r="53" customFormat="false" ht="19.5" hidden="false" customHeight="true" outlineLevel="0" collapsed="false">
      <c r="A53" s="56"/>
      <c r="B53" s="53"/>
      <c r="C53" s="53"/>
      <c r="D53" s="53"/>
      <c r="E53" s="53"/>
      <c r="F53" s="55"/>
      <c r="G53" s="53"/>
      <c r="H53" s="56"/>
      <c r="I53" s="75" t="str">
        <f aca="true">IF(H53="Paid","✓",IF(E53="","",IF(TODAY()&gt;E53,TODAY()-E53,"On time")))</f>
        <v/>
      </c>
    </row>
    <row r="54" customFormat="false" ht="15.75" hidden="false" customHeight="true" outlineLevel="0" collapsed="false"/>
    <row r="55" customFormat="false" ht="24" hidden="false" customHeight="true" outlineLevel="0" collapsed="false">
      <c r="A55" s="78" t="s">
        <v>240</v>
      </c>
      <c r="B55" s="78"/>
      <c r="C55" s="78"/>
      <c r="D55" s="78"/>
      <c r="E55" s="78"/>
      <c r="F55" s="78"/>
      <c r="G55" s="78"/>
      <c r="H55" s="78"/>
      <c r="I55" s="78"/>
    </row>
    <row r="56" customFormat="false" ht="21.75" hidden="false" customHeight="true" outlineLevel="0" collapsed="false">
      <c r="A56" s="79" t="s">
        <v>241</v>
      </c>
      <c r="B56" s="79"/>
      <c r="C56" s="79"/>
      <c r="D56" s="79"/>
      <c r="E56" s="79"/>
      <c r="F56" s="80" t="n">
        <f aca="true">SUMPRODUCT((H5:H53&lt;&gt;"Paid")*(E5:E53&gt;="")*(TODAY()&lt;=E5:E53)*F5:F53)</f>
        <v>9700</v>
      </c>
    </row>
    <row r="57" customFormat="false" ht="21.75" hidden="false" customHeight="true" outlineLevel="0" collapsed="false">
      <c r="A57" s="79" t="s">
        <v>242</v>
      </c>
      <c r="B57" s="79"/>
      <c r="C57" s="79"/>
      <c r="D57" s="79"/>
      <c r="E57" s="79"/>
      <c r="F57" s="80" t="n">
        <f aca="true">SUMPRODUCT((H5:H53&lt;&gt;"Paid")*(TODAY()-E5:E53&gt;=1)*(TODAY()-E5:E53&lt;=30)*F5:F53)</f>
        <v>2200</v>
      </c>
    </row>
    <row r="58" customFormat="false" ht="21.75" hidden="false" customHeight="true" outlineLevel="0" collapsed="false">
      <c r="A58" s="79" t="s">
        <v>243</v>
      </c>
      <c r="B58" s="79"/>
      <c r="C58" s="79"/>
      <c r="D58" s="79"/>
      <c r="E58" s="79"/>
      <c r="F58" s="80" t="n">
        <f aca="true">SUMPRODUCT((H5:H53&lt;&gt;"Paid")*(TODAY()-E5:E53&gt;=31)*(TODAY()-E5:E53&lt;=60)*F5:F53)</f>
        <v>0</v>
      </c>
    </row>
    <row r="59" customFormat="false" ht="21.75" hidden="false" customHeight="true" outlineLevel="0" collapsed="false">
      <c r="A59" s="81" t="s">
        <v>244</v>
      </c>
      <c r="B59" s="81"/>
      <c r="C59" s="81"/>
      <c r="D59" s="81"/>
      <c r="E59" s="81"/>
      <c r="F59" s="82" t="n">
        <f aca="true">SUMPRODUCT((H5:H53&lt;&gt;"Paid")*(TODAY()-E5:E53&gt;60)*F5:F53)</f>
        <v>0</v>
      </c>
    </row>
    <row r="60" customFormat="false" ht="21.75" hidden="false" customHeight="true" outlineLevel="0" collapsed="false">
      <c r="A60" s="83" t="s">
        <v>245</v>
      </c>
      <c r="B60" s="83"/>
      <c r="C60" s="83"/>
      <c r="D60" s="83"/>
      <c r="E60" s="83"/>
      <c r="F60" s="63" t="n">
        <f aca="false">SUMIF(H5:H53,"Paid",F5:F53)</f>
        <v>15500</v>
      </c>
    </row>
  </sheetData>
  <mergeCells count="8">
    <mergeCell ref="A1:I2"/>
    <mergeCell ref="A3:I3"/>
    <mergeCell ref="A55:I55"/>
    <mergeCell ref="A56:E56"/>
    <mergeCell ref="A57:E57"/>
    <mergeCell ref="A58:E58"/>
    <mergeCell ref="A59:E59"/>
    <mergeCell ref="A60:E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C3483"/>
    <pageSetUpPr fitToPage="fals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20"/>
  </cols>
  <sheetData>
    <row r="1" customFormat="false" ht="21.75" hidden="false" customHeight="true" outlineLevel="0" collapsed="false">
      <c r="A1" s="36" t="s">
        <v>246</v>
      </c>
      <c r="B1" s="36"/>
      <c r="C1" s="36"/>
      <c r="D1" s="36"/>
      <c r="E1" s="36"/>
    </row>
    <row r="2" customFormat="false" ht="21.75" hidden="false" customHeight="true" outlineLevel="0" collapsed="false">
      <c r="A2" s="36"/>
      <c r="B2" s="36"/>
      <c r="C2" s="36"/>
      <c r="D2" s="36"/>
      <c r="E2" s="36"/>
    </row>
    <row r="3" customFormat="false" ht="18" hidden="false" customHeight="true" outlineLevel="0" collapsed="false">
      <c r="A3" s="37" t="s">
        <v>247</v>
      </c>
      <c r="B3" s="37"/>
      <c r="C3" s="37"/>
      <c r="D3" s="37"/>
      <c r="E3" s="37"/>
    </row>
    <row r="4" customFormat="false" ht="24" hidden="false" customHeight="true" outlineLevel="0" collapsed="false">
      <c r="A4" s="38" t="s">
        <v>248</v>
      </c>
      <c r="B4" s="38"/>
      <c r="C4" s="38"/>
      <c r="D4" s="38"/>
      <c r="E4" s="38"/>
    </row>
    <row r="5" customFormat="false" ht="21.75" hidden="false" customHeight="true" outlineLevel="0" collapsed="false">
      <c r="A5" s="84" t="s">
        <v>249</v>
      </c>
      <c r="B5" s="71" t="n">
        <f aca="false">'💰 Income Log'!F64</f>
        <v>25200</v>
      </c>
      <c r="C5" s="71"/>
      <c r="D5" s="71"/>
      <c r="E5" s="71"/>
    </row>
    <row r="6" customFormat="false" ht="21.75" hidden="false" customHeight="true" outlineLevel="0" collapsed="false">
      <c r="A6" s="84" t="s">
        <v>250</v>
      </c>
      <c r="B6" s="71" t="n">
        <f aca="false">'💸 Expenses'!F65</f>
        <v>1165.89</v>
      </c>
      <c r="C6" s="71"/>
      <c r="D6" s="71"/>
      <c r="E6" s="71"/>
    </row>
    <row r="7" customFormat="false" ht="21.75" hidden="false" customHeight="true" outlineLevel="0" collapsed="false">
      <c r="A7" s="84" t="s">
        <v>251</v>
      </c>
      <c r="B7" s="71" t="n">
        <f aca="false">'🚗 Mileage &amp; Home Office'!G52</f>
        <v>55.744</v>
      </c>
      <c r="C7" s="71"/>
      <c r="D7" s="71"/>
      <c r="E7" s="71"/>
    </row>
    <row r="8" customFormat="false" ht="21.75" hidden="false" customHeight="true" outlineLevel="0" collapsed="false">
      <c r="A8" s="84" t="s">
        <v>252</v>
      </c>
      <c r="B8" s="71" t="n">
        <f aca="false">'🚗 Mileage &amp; Home Office'!E62</f>
        <v>5300</v>
      </c>
      <c r="C8" s="71"/>
      <c r="D8" s="71"/>
      <c r="E8" s="71"/>
    </row>
    <row r="9" customFormat="false" ht="21.75" hidden="false" customHeight="true" outlineLevel="0" collapsed="false">
      <c r="A9" s="84" t="s">
        <v>253</v>
      </c>
      <c r="B9" s="71" t="n">
        <f aca="false">B6+B7+B8</f>
        <v>6521.634</v>
      </c>
      <c r="C9" s="71"/>
      <c r="D9" s="71"/>
      <c r="E9" s="71"/>
    </row>
    <row r="10" customFormat="false" ht="21.75" hidden="false" customHeight="true" outlineLevel="0" collapsed="false">
      <c r="A10" s="85" t="s">
        <v>254</v>
      </c>
      <c r="B10" s="86" t="n">
        <f aca="false">B5-B9</f>
        <v>18678.366</v>
      </c>
      <c r="C10" s="86"/>
      <c r="D10" s="86"/>
      <c r="E10" s="86"/>
    </row>
    <row r="11" customFormat="false" ht="7.5" hidden="false" customHeight="true" outlineLevel="0" collapsed="false"/>
    <row r="12" customFormat="false" ht="24" hidden="false" customHeight="true" outlineLevel="0" collapsed="false">
      <c r="A12" s="38" t="s">
        <v>255</v>
      </c>
      <c r="B12" s="38"/>
      <c r="C12" s="38"/>
      <c r="D12" s="38"/>
      <c r="E12" s="38"/>
    </row>
    <row r="13" customFormat="false" ht="21.75" hidden="false" customHeight="true" outlineLevel="0" collapsed="false">
      <c r="A13" s="84" t="s">
        <v>256</v>
      </c>
      <c r="B13" s="70" t="n">
        <f aca="false">'⚙ Settings'!C11</f>
        <v>0.22</v>
      </c>
      <c r="C13" s="70"/>
      <c r="D13" s="70"/>
      <c r="E13" s="70"/>
    </row>
    <row r="14" customFormat="false" ht="21.75" hidden="false" customHeight="true" outlineLevel="0" collapsed="false">
      <c r="A14" s="84" t="s">
        <v>257</v>
      </c>
      <c r="B14" s="70" t="n">
        <f aca="false">'⚙ Settings'!C12</f>
        <v>0.08</v>
      </c>
      <c r="C14" s="70"/>
      <c r="D14" s="70"/>
      <c r="E14" s="70"/>
    </row>
    <row r="15" customFormat="false" ht="21.75" hidden="false" customHeight="true" outlineLevel="0" collapsed="false">
      <c r="A15" s="84" t="s">
        <v>258</v>
      </c>
      <c r="B15" s="70" t="n">
        <f aca="false">'⚙ Settings'!C13</f>
        <v>0.153</v>
      </c>
      <c r="C15" s="70"/>
      <c r="D15" s="70"/>
      <c r="E15" s="70"/>
    </row>
    <row r="16" customFormat="false" ht="7.5" hidden="false" customHeight="true" outlineLevel="0" collapsed="false"/>
    <row r="17" customFormat="false" ht="24" hidden="false" customHeight="true" outlineLevel="0" collapsed="false">
      <c r="A17" s="38" t="s">
        <v>259</v>
      </c>
      <c r="B17" s="38"/>
      <c r="C17" s="38"/>
      <c r="D17" s="38"/>
      <c r="E17" s="38"/>
    </row>
    <row r="18" customFormat="false" ht="21.75" hidden="false" customHeight="true" outlineLevel="0" collapsed="false">
      <c r="A18" s="84" t="s">
        <v>260</v>
      </c>
      <c r="B18" s="71" t="n">
        <f aca="false">B13*B10</f>
        <v>4109.24052</v>
      </c>
      <c r="C18" s="71"/>
      <c r="D18" s="71"/>
      <c r="E18" s="71"/>
    </row>
    <row r="19" customFormat="false" ht="21.75" hidden="false" customHeight="true" outlineLevel="0" collapsed="false">
      <c r="A19" s="84" t="s">
        <v>261</v>
      </c>
      <c r="B19" s="71" t="n">
        <f aca="false">B14*B10</f>
        <v>1494.26928</v>
      </c>
      <c r="C19" s="71"/>
      <c r="D19" s="71"/>
      <c r="E19" s="71"/>
    </row>
    <row r="20" customFormat="false" ht="21.75" hidden="false" customHeight="true" outlineLevel="0" collapsed="false">
      <c r="A20" s="84" t="s">
        <v>262</v>
      </c>
      <c r="B20" s="71" t="n">
        <f aca="false">B15*B10</f>
        <v>2857.789998</v>
      </c>
      <c r="C20" s="71"/>
      <c r="D20" s="71"/>
      <c r="E20" s="71"/>
    </row>
    <row r="21" customFormat="false" ht="21.75" hidden="false" customHeight="true" outlineLevel="0" collapsed="false">
      <c r="A21" s="85" t="s">
        <v>263</v>
      </c>
      <c r="B21" s="86" t="n">
        <f aca="false">B18+B19+B20</f>
        <v>8461.299798</v>
      </c>
      <c r="C21" s="86"/>
      <c r="D21" s="86"/>
      <c r="E21" s="86"/>
    </row>
    <row r="22" customFormat="false" ht="21.75" hidden="false" customHeight="true" outlineLevel="0" collapsed="false">
      <c r="A22" s="84" t="s">
        <v>264</v>
      </c>
      <c r="B22" s="70" t="n">
        <f aca="false">IFERROR(B21/B5,0)</f>
        <v>0.335765865</v>
      </c>
      <c r="C22" s="70"/>
      <c r="D22" s="70"/>
      <c r="E22" s="70"/>
    </row>
    <row r="23" customFormat="false" ht="7.5" hidden="false" customHeight="true" outlineLevel="0" collapsed="false"/>
    <row r="24" customFormat="false" ht="24" hidden="false" customHeight="true" outlineLevel="0" collapsed="false">
      <c r="A24" s="38" t="s">
        <v>265</v>
      </c>
      <c r="B24" s="38"/>
      <c r="C24" s="38"/>
      <c r="D24" s="38"/>
      <c r="E24" s="38"/>
    </row>
    <row r="25" customFormat="false" ht="21.75" hidden="false" customHeight="true" outlineLevel="0" collapsed="false">
      <c r="A25" s="84" t="s">
        <v>266</v>
      </c>
      <c r="B25" s="71" t="n">
        <f aca="false">B5</f>
        <v>25200</v>
      </c>
      <c r="C25" s="71"/>
      <c r="D25" s="71"/>
      <c r="E25" s="71"/>
    </row>
    <row r="26" customFormat="false" ht="21.75" hidden="false" customHeight="true" outlineLevel="0" collapsed="false">
      <c r="A26" s="84" t="s">
        <v>267</v>
      </c>
      <c r="B26" s="71" t="n">
        <f aca="false">-B6</f>
        <v>-1165.89</v>
      </c>
      <c r="C26" s="71"/>
      <c r="D26" s="71"/>
      <c r="E26" s="71"/>
    </row>
    <row r="27" customFormat="false" ht="21.75" hidden="false" customHeight="true" outlineLevel="0" collapsed="false">
      <c r="A27" s="84" t="s">
        <v>268</v>
      </c>
      <c r="B27" s="71" t="n">
        <f aca="false">-B21</f>
        <v>-8461.299798</v>
      </c>
      <c r="C27" s="71"/>
      <c r="D27" s="71"/>
      <c r="E27" s="71"/>
    </row>
    <row r="28" customFormat="false" ht="21.75" hidden="false" customHeight="true" outlineLevel="0" collapsed="false">
      <c r="A28" s="85" t="s">
        <v>269</v>
      </c>
      <c r="B28" s="86" t="n">
        <f aca="false">B25+B26+B27</f>
        <v>15572.810202</v>
      </c>
      <c r="C28" s="86"/>
      <c r="D28" s="86"/>
      <c r="E28" s="86"/>
    </row>
    <row r="29" customFormat="false" ht="21.75" hidden="false" customHeight="true" outlineLevel="0" collapsed="false">
      <c r="A29" s="84" t="s">
        <v>270</v>
      </c>
      <c r="B29" s="71" t="n">
        <f aca="false">B28/12</f>
        <v>1297.7341835</v>
      </c>
      <c r="C29" s="71"/>
      <c r="D29" s="71"/>
      <c r="E29" s="71"/>
    </row>
    <row r="31" customFormat="false" ht="24" hidden="false" customHeight="true" outlineLevel="0" collapsed="false">
      <c r="A31" s="78" t="s">
        <v>271</v>
      </c>
      <c r="B31" s="78"/>
      <c r="C31" s="78"/>
      <c r="D31" s="78"/>
      <c r="E31" s="78"/>
    </row>
    <row r="32" customFormat="false" ht="24" hidden="false" customHeight="true" outlineLevel="0" collapsed="false">
      <c r="A32" s="43" t="s">
        <v>272</v>
      </c>
      <c r="B32" s="43" t="s">
        <v>212</v>
      </c>
      <c r="C32" s="43" t="s">
        <v>273</v>
      </c>
      <c r="D32" s="43" t="s">
        <v>274</v>
      </c>
      <c r="E32" s="43" t="s">
        <v>275</v>
      </c>
    </row>
    <row r="33" customFormat="false" ht="24" hidden="false" customHeight="true" outlineLevel="0" collapsed="false">
      <c r="A33" s="87" t="s">
        <v>276</v>
      </c>
      <c r="B33" s="50" t="s">
        <v>277</v>
      </c>
      <c r="C33" s="23" t="n">
        <f aca="false">B21/4</f>
        <v>2115.3249495</v>
      </c>
      <c r="D33" s="88" t="n">
        <v>0</v>
      </c>
      <c r="E33" s="25" t="n">
        <f aca="false">C33-D33</f>
        <v>2115.3249495</v>
      </c>
    </row>
    <row r="34" customFormat="false" ht="24" hidden="false" customHeight="true" outlineLevel="0" collapsed="false">
      <c r="A34" s="89" t="s">
        <v>278</v>
      </c>
      <c r="B34" s="47" t="s">
        <v>279</v>
      </c>
      <c r="C34" s="27" t="n">
        <f aca="false">B21/4</f>
        <v>2115.3249495</v>
      </c>
      <c r="D34" s="88" t="n">
        <v>0</v>
      </c>
      <c r="E34" s="29" t="n">
        <f aca="false">C34-D34</f>
        <v>2115.3249495</v>
      </c>
    </row>
    <row r="35" customFormat="false" ht="24" hidden="false" customHeight="true" outlineLevel="0" collapsed="false">
      <c r="A35" s="87" t="s">
        <v>280</v>
      </c>
      <c r="B35" s="50" t="s">
        <v>281</v>
      </c>
      <c r="C35" s="23" t="n">
        <f aca="false">B21/4</f>
        <v>2115.3249495</v>
      </c>
      <c r="D35" s="88" t="n">
        <v>0</v>
      </c>
      <c r="E35" s="25" t="n">
        <f aca="false">C35-D35</f>
        <v>2115.3249495</v>
      </c>
    </row>
    <row r="36" customFormat="false" ht="24" hidden="false" customHeight="true" outlineLevel="0" collapsed="false">
      <c r="A36" s="89" t="s">
        <v>282</v>
      </c>
      <c r="B36" s="47" t="s">
        <v>283</v>
      </c>
      <c r="C36" s="27" t="n">
        <f aca="false">B21/4</f>
        <v>2115.3249495</v>
      </c>
      <c r="D36" s="88" t="n">
        <v>0</v>
      </c>
      <c r="E36" s="29" t="n">
        <f aca="false">C36-D36</f>
        <v>2115.3249495</v>
      </c>
    </row>
  </sheetData>
  <mergeCells count="26">
    <mergeCell ref="A1:E2"/>
    <mergeCell ref="A3:E3"/>
    <mergeCell ref="A4:E4"/>
    <mergeCell ref="B5:E5"/>
    <mergeCell ref="B6:E6"/>
    <mergeCell ref="B7:E7"/>
    <mergeCell ref="B8:E8"/>
    <mergeCell ref="B9:E9"/>
    <mergeCell ref="B10:E10"/>
    <mergeCell ref="A12:E12"/>
    <mergeCell ref="B13:E13"/>
    <mergeCell ref="B14:E14"/>
    <mergeCell ref="B15:E15"/>
    <mergeCell ref="A17:E17"/>
    <mergeCell ref="B18:E18"/>
    <mergeCell ref="B19:E19"/>
    <mergeCell ref="B20:E20"/>
    <mergeCell ref="B21:E21"/>
    <mergeCell ref="B22:E22"/>
    <mergeCell ref="A24:E24"/>
    <mergeCell ref="B25:E25"/>
    <mergeCell ref="B26:E26"/>
    <mergeCell ref="B27:E27"/>
    <mergeCell ref="B28:E28"/>
    <mergeCell ref="B29:E29"/>
    <mergeCell ref="A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4360"/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6" min="2" style="1" width="16"/>
    <col collapsed="false" customWidth="true" hidden="false" outlineLevel="0" max="7" min="7" style="1" width="18"/>
  </cols>
  <sheetData>
    <row r="1" customFormat="false" ht="21.75" hidden="false" customHeight="true" outlineLevel="0" collapsed="false">
      <c r="A1" s="36" t="s">
        <v>284</v>
      </c>
      <c r="B1" s="36"/>
      <c r="C1" s="36"/>
      <c r="D1" s="36"/>
      <c r="E1" s="36"/>
      <c r="F1" s="36"/>
      <c r="G1" s="36"/>
    </row>
    <row r="2" customFormat="false" ht="21.75" hidden="false" customHeight="true" outlineLevel="0" collapsed="false">
      <c r="A2" s="36"/>
      <c r="B2" s="36"/>
      <c r="C2" s="36"/>
      <c r="D2" s="36"/>
      <c r="E2" s="36"/>
      <c r="F2" s="36"/>
      <c r="G2" s="36"/>
    </row>
    <row r="3" customFormat="false" ht="18" hidden="false" customHeight="true" outlineLevel="0" collapsed="false">
      <c r="A3" s="37" t="s">
        <v>285</v>
      </c>
      <c r="B3" s="37"/>
      <c r="C3" s="37"/>
      <c r="D3" s="37"/>
      <c r="E3" s="37"/>
      <c r="F3" s="37"/>
      <c r="G3" s="37"/>
    </row>
    <row r="4" customFormat="false" ht="25.5" hidden="false" customHeight="true" outlineLevel="0" collapsed="false">
      <c r="A4" s="43" t="s">
        <v>286</v>
      </c>
      <c r="B4" s="43" t="s">
        <v>287</v>
      </c>
      <c r="C4" s="43" t="s">
        <v>288</v>
      </c>
      <c r="D4" s="43" t="s">
        <v>289</v>
      </c>
      <c r="E4" s="43" t="s">
        <v>290</v>
      </c>
      <c r="F4" s="43" t="s">
        <v>291</v>
      </c>
      <c r="G4" s="43" t="s">
        <v>292</v>
      </c>
    </row>
    <row r="5" customFormat="false" ht="24" hidden="false" customHeight="true" outlineLevel="0" collapsed="false">
      <c r="A5" s="84" t="s">
        <v>91</v>
      </c>
      <c r="B5" s="27" t="n">
        <f aca="false">SUMIF('💰 Income Log'!B5:B63,A5,'💰 Income Log'!F5:F63)</f>
        <v>4300</v>
      </c>
      <c r="C5" s="90" t="n">
        <f aca="false">COUNTIF('💰 Income Log'!B5:B63,A5)</f>
        <v>2</v>
      </c>
      <c r="D5" s="27" t="n">
        <f aca="false">IFERROR(B5/C5,0)</f>
        <v>2150</v>
      </c>
      <c r="E5" s="49" t="n">
        <f aca="false">SUMPRODUCT(('🧾 Invoices'!B5:B53=A5)*('🧾 Invoices'!H5:H53="Paid")*('🧾 Invoices'!F5:F53))</f>
        <v>4300</v>
      </c>
      <c r="F5" s="27" t="n">
        <f aca="false">B5-E5</f>
        <v>0</v>
      </c>
      <c r="G5" s="77" t="str">
        <f aca="false">IF(B5&gt;'⚙ Settings'!C21,"⚠ Expect 1099","—")</f>
        <v>⚠ Expect 1099</v>
      </c>
    </row>
    <row r="6" customFormat="false" ht="24" hidden="false" customHeight="true" outlineLevel="0" collapsed="false">
      <c r="A6" s="84" t="s">
        <v>97</v>
      </c>
      <c r="B6" s="23" t="n">
        <f aca="false">SUMIF('💰 Income Log'!B5:B63,A6,'💰 Income Log'!F5:F63)</f>
        <v>10000</v>
      </c>
      <c r="C6" s="91" t="n">
        <f aca="false">COUNTIF('💰 Income Log'!B5:B63,A6)</f>
        <v>2</v>
      </c>
      <c r="D6" s="23" t="n">
        <f aca="false">IFERROR(B6/C6,0)</f>
        <v>5000</v>
      </c>
      <c r="E6" s="49" t="n">
        <f aca="false">SUMPRODUCT(('🧾 Invoices'!B5:B53=A6)*('🧾 Invoices'!H5:H53="Paid")*('🧾 Invoices'!F5:F53))</f>
        <v>10000</v>
      </c>
      <c r="F6" s="23" t="n">
        <f aca="false">B6-E6</f>
        <v>0</v>
      </c>
      <c r="G6" s="77" t="str">
        <f aca="false">IF(B6&gt;'⚙ Settings'!C21,"⚠ Expect 1099","—")</f>
        <v>⚠ Expect 1099</v>
      </c>
    </row>
    <row r="7" customFormat="false" ht="24" hidden="false" customHeight="true" outlineLevel="0" collapsed="false">
      <c r="A7" s="84" t="s">
        <v>104</v>
      </c>
      <c r="B7" s="27" t="n">
        <f aca="false">SUMIF('💰 Income Log'!B5:B63,A7,'💰 Income Log'!F5:F63)</f>
        <v>2400</v>
      </c>
      <c r="C7" s="90" t="n">
        <f aca="false">COUNTIF('💰 Income Log'!B5:B63,A7)</f>
        <v>2</v>
      </c>
      <c r="D7" s="27" t="n">
        <f aca="false">IFERROR(B7/C7,0)</f>
        <v>1200</v>
      </c>
      <c r="E7" s="49" t="n">
        <f aca="false">SUMPRODUCT(('🧾 Invoices'!B5:B53=A7)*('🧾 Invoices'!H5:H53="Paid")*('🧾 Invoices'!F5:F53))</f>
        <v>1200</v>
      </c>
      <c r="F7" s="27" t="n">
        <f aca="false">B7-E7</f>
        <v>1200</v>
      </c>
      <c r="G7" s="77" t="str">
        <f aca="false">IF(B7&gt;'⚙ Settings'!C21,"⚠ Expect 1099","—")</f>
        <v>⚠ Expect 1099</v>
      </c>
    </row>
    <row r="8" customFormat="false" ht="24" hidden="false" customHeight="true" outlineLevel="0" collapsed="false">
      <c r="A8" s="84" t="s">
        <v>113</v>
      </c>
      <c r="B8" s="23" t="n">
        <f aca="false">SUMIF('💰 Income Log'!B5:B63,A8,'💰 Income Log'!F5:F63)</f>
        <v>2200</v>
      </c>
      <c r="C8" s="91" t="n">
        <f aca="false">COUNTIF('💰 Income Log'!B5:B63,A8)</f>
        <v>1</v>
      </c>
      <c r="D8" s="23" t="n">
        <f aca="false">IFERROR(B8/C8,0)</f>
        <v>2200</v>
      </c>
      <c r="E8" s="49" t="n">
        <f aca="false">SUMPRODUCT(('🧾 Invoices'!B5:B53=A8)*('🧾 Invoices'!H5:H53="Paid")*('🧾 Invoices'!F5:F53))</f>
        <v>0</v>
      </c>
      <c r="F8" s="23" t="n">
        <f aca="false">B8-E8</f>
        <v>2200</v>
      </c>
      <c r="G8" s="77" t="str">
        <f aca="false">IF(B8&gt;'⚙ Settings'!C21,"⚠ Expect 1099","—")</f>
        <v>⚠ Expect 1099</v>
      </c>
    </row>
    <row r="9" customFormat="false" ht="24" hidden="false" customHeight="true" outlineLevel="0" collapsed="false">
      <c r="A9" s="84" t="s">
        <v>122</v>
      </c>
      <c r="B9" s="27" t="n">
        <f aca="false">SUMIF('💰 Income Log'!B5:B63,A9,'💰 Income Log'!F5:F63)</f>
        <v>1800</v>
      </c>
      <c r="C9" s="90" t="n">
        <f aca="false">COUNTIF('💰 Income Log'!B5:B63,A9)</f>
        <v>1</v>
      </c>
      <c r="D9" s="27" t="n">
        <f aca="false">IFERROR(B9/C9,0)</f>
        <v>1800</v>
      </c>
      <c r="E9" s="49" t="n">
        <f aca="false">SUMPRODUCT(('🧾 Invoices'!B5:B53=A9)*('🧾 Invoices'!H5:H53="Paid")*('🧾 Invoices'!F5:F53))</f>
        <v>0</v>
      </c>
      <c r="F9" s="27" t="n">
        <f aca="false">B9-E9</f>
        <v>1800</v>
      </c>
      <c r="G9" s="77" t="str">
        <f aca="false">IF(B9&gt;'⚙ Settings'!C21,"⚠ Expect 1099","—")</f>
        <v>⚠ Expect 1099</v>
      </c>
    </row>
    <row r="10" customFormat="false" ht="24" hidden="false" customHeight="true" outlineLevel="0" collapsed="false">
      <c r="A10" s="84" t="s">
        <v>130</v>
      </c>
      <c r="B10" s="23" t="n">
        <f aca="false">SUMIF('💰 Income Log'!B5:B63,A10,'💰 Income Log'!F5:F63)</f>
        <v>4500</v>
      </c>
      <c r="C10" s="91" t="n">
        <f aca="false">COUNTIF('💰 Income Log'!B5:B63,A10)</f>
        <v>1</v>
      </c>
      <c r="D10" s="23" t="n">
        <f aca="false">IFERROR(B10/C10,0)</f>
        <v>4500</v>
      </c>
      <c r="E10" s="49" t="n">
        <f aca="false">SUMPRODUCT(('🧾 Invoices'!B5:B53=A10)*('🧾 Invoices'!H5:H53="Paid")*('🧾 Invoices'!F5:F53))</f>
        <v>0</v>
      </c>
      <c r="F10" s="23" t="n">
        <f aca="false">B10-E10</f>
        <v>4500</v>
      </c>
      <c r="G10" s="77" t="str">
        <f aca="false">IF(B10&gt;'⚙ Settings'!C21,"⚠ Expect 1099","—")</f>
        <v>⚠ Expect 1099</v>
      </c>
    </row>
    <row r="11" customFormat="false" ht="21.75" hidden="false" customHeight="true" outlineLevel="0" collapsed="false">
      <c r="A11" s="46"/>
      <c r="B11" s="27" t="str">
        <f aca="false">IF(A11="","",SUMIF('💰 Income Log'!B5:B63,A11,'💰 Income Log'!F5:F63))</f>
        <v/>
      </c>
      <c r="C11" s="27" t="str">
        <f aca="false">IF(A11="","",COUNTIF('💰 Income Log'!B5:B63,A11))</f>
        <v/>
      </c>
      <c r="D11" s="27" t="str">
        <f aca="false">IFERROR(B11/C11,"")</f>
        <v/>
      </c>
      <c r="E11" s="27" t="str">
        <f aca="false">IF(A11="","",SUMPRODUCT(('🧾 Invoices'!B5:B53=A11)*('🧾 Invoices'!H5:H53="Paid")*('🧾 Invoices'!F5:F53)))</f>
        <v/>
      </c>
      <c r="F11" s="27" t="str">
        <f aca="false">IF(A11="","",B11-E11)</f>
        <v/>
      </c>
      <c r="G11" s="47" t="str">
        <f aca="false">IF(A11="","",IF(B11&gt;'⚙ Settings'!C21,"⚠ Expect 1099","—"))</f>
        <v/>
      </c>
    </row>
    <row r="12" customFormat="false" ht="21.75" hidden="false" customHeight="true" outlineLevel="0" collapsed="false">
      <c r="A12" s="46"/>
      <c r="B12" s="23" t="str">
        <f aca="false">IF(A12="","",SUMIF('💰 Income Log'!B5:B63,A12,'💰 Income Log'!F5:F63))</f>
        <v/>
      </c>
      <c r="C12" s="23" t="str">
        <f aca="false">IF(A12="","",COUNTIF('💰 Income Log'!B5:B63,A12))</f>
        <v/>
      </c>
      <c r="D12" s="23" t="str">
        <f aca="false">IFERROR(B12/C12,"")</f>
        <v/>
      </c>
      <c r="E12" s="23" t="str">
        <f aca="false">IF(A12="","",SUMPRODUCT(('🧾 Invoices'!B5:B53=A12)*('🧾 Invoices'!H5:H53="Paid")*('🧾 Invoices'!F5:F53)))</f>
        <v/>
      </c>
      <c r="F12" s="23" t="str">
        <f aca="false">IF(A12="","",B12-E12)</f>
        <v/>
      </c>
      <c r="G12" s="50" t="str">
        <f aca="false">IF(A12="","",IF(B12&gt;'⚙ Settings'!C21,"⚠ Expect 1099","—"))</f>
        <v/>
      </c>
    </row>
    <row r="13" customFormat="false" ht="21.75" hidden="false" customHeight="true" outlineLevel="0" collapsed="false">
      <c r="A13" s="46"/>
      <c r="B13" s="27" t="str">
        <f aca="false">IF(A13="","",SUMIF('💰 Income Log'!B5:B63,A13,'💰 Income Log'!F5:F63))</f>
        <v/>
      </c>
      <c r="C13" s="27" t="str">
        <f aca="false">IF(A13="","",COUNTIF('💰 Income Log'!B5:B63,A13))</f>
        <v/>
      </c>
      <c r="D13" s="27" t="str">
        <f aca="false">IFERROR(B13/C13,"")</f>
        <v/>
      </c>
      <c r="E13" s="27" t="str">
        <f aca="false">IF(A13="","",SUMPRODUCT(('🧾 Invoices'!B5:B53=A13)*('🧾 Invoices'!H5:H53="Paid")*('🧾 Invoices'!F5:F53)))</f>
        <v/>
      </c>
      <c r="F13" s="27" t="str">
        <f aca="false">IF(A13="","",B13-E13)</f>
        <v/>
      </c>
      <c r="G13" s="47" t="str">
        <f aca="false">IF(A13="","",IF(B13&gt;'⚙ Settings'!C21,"⚠ Expect 1099","—"))</f>
        <v/>
      </c>
    </row>
    <row r="14" customFormat="false" ht="21.75" hidden="false" customHeight="true" outlineLevel="0" collapsed="false">
      <c r="A14" s="46"/>
      <c r="B14" s="23" t="str">
        <f aca="false">IF(A14="","",SUMIF('💰 Income Log'!B5:B63,A14,'💰 Income Log'!F5:F63))</f>
        <v/>
      </c>
      <c r="C14" s="23" t="str">
        <f aca="false">IF(A14="","",COUNTIF('💰 Income Log'!B5:B63,A14))</f>
        <v/>
      </c>
      <c r="D14" s="23" t="str">
        <f aca="false">IFERROR(B14/C14,"")</f>
        <v/>
      </c>
      <c r="E14" s="23" t="str">
        <f aca="false">IF(A14="","",SUMPRODUCT(('🧾 Invoices'!B5:B53=A14)*('🧾 Invoices'!H5:H53="Paid")*('🧾 Invoices'!F5:F53)))</f>
        <v/>
      </c>
      <c r="F14" s="23" t="str">
        <f aca="false">IF(A14="","",B14-E14)</f>
        <v/>
      </c>
      <c r="G14" s="50" t="str">
        <f aca="false">IF(A14="","",IF(B14&gt;'⚙ Settings'!C21,"⚠ Expect 1099","—"))</f>
        <v/>
      </c>
    </row>
    <row r="15" customFormat="false" ht="21.75" hidden="false" customHeight="true" outlineLevel="0" collapsed="false">
      <c r="A15" s="46"/>
      <c r="B15" s="27" t="str">
        <f aca="false">IF(A15="","",SUMIF('💰 Income Log'!B5:B63,A15,'💰 Income Log'!F5:F63))</f>
        <v/>
      </c>
      <c r="C15" s="27" t="str">
        <f aca="false">IF(A15="","",COUNTIF('💰 Income Log'!B5:B63,A15))</f>
        <v/>
      </c>
      <c r="D15" s="27" t="str">
        <f aca="false">IFERROR(B15/C15,"")</f>
        <v/>
      </c>
      <c r="E15" s="27" t="str">
        <f aca="false">IF(A15="","",SUMPRODUCT(('🧾 Invoices'!B5:B53=A15)*('🧾 Invoices'!H5:H53="Paid")*('🧾 Invoices'!F5:F53)))</f>
        <v/>
      </c>
      <c r="F15" s="27" t="str">
        <f aca="false">IF(A15="","",B15-E15)</f>
        <v/>
      </c>
      <c r="G15" s="47" t="str">
        <f aca="false">IF(A15="","",IF(B15&gt;'⚙ Settings'!C21,"⚠ Expect 1099","—"))</f>
        <v/>
      </c>
    </row>
    <row r="16" customFormat="false" ht="21.75" hidden="false" customHeight="true" outlineLevel="0" collapsed="false">
      <c r="A16" s="46"/>
      <c r="B16" s="23" t="str">
        <f aca="false">IF(A16="","",SUMIF('💰 Income Log'!B5:B63,A16,'💰 Income Log'!F5:F63))</f>
        <v/>
      </c>
      <c r="C16" s="23" t="str">
        <f aca="false">IF(A16="","",COUNTIF('💰 Income Log'!B5:B63,A16))</f>
        <v/>
      </c>
      <c r="D16" s="23" t="str">
        <f aca="false">IFERROR(B16/C16,"")</f>
        <v/>
      </c>
      <c r="E16" s="23" t="str">
        <f aca="false">IF(A16="","",SUMPRODUCT(('🧾 Invoices'!B5:B53=A16)*('🧾 Invoices'!H5:H53="Paid")*('🧾 Invoices'!F5:F53)))</f>
        <v/>
      </c>
      <c r="F16" s="23" t="str">
        <f aca="false">IF(A16="","",B16-E16)</f>
        <v/>
      </c>
      <c r="G16" s="50" t="str">
        <f aca="false">IF(A16="","",IF(B16&gt;'⚙ Settings'!C21,"⚠ Expect 1099","—"))</f>
        <v/>
      </c>
    </row>
    <row r="17" customFormat="false" ht="21.75" hidden="false" customHeight="true" outlineLevel="0" collapsed="false">
      <c r="A17" s="46"/>
      <c r="B17" s="27" t="str">
        <f aca="false">IF(A17="","",SUMIF('💰 Income Log'!B5:B63,A17,'💰 Income Log'!F5:F63))</f>
        <v/>
      </c>
      <c r="C17" s="27" t="str">
        <f aca="false">IF(A17="","",COUNTIF('💰 Income Log'!B5:B63,A17))</f>
        <v/>
      </c>
      <c r="D17" s="27" t="str">
        <f aca="false">IFERROR(B17/C17,"")</f>
        <v/>
      </c>
      <c r="E17" s="27" t="str">
        <f aca="false">IF(A17="","",SUMPRODUCT(('🧾 Invoices'!B5:B53=A17)*('🧾 Invoices'!H5:H53="Paid")*('🧾 Invoices'!F5:F53)))</f>
        <v/>
      </c>
      <c r="F17" s="27" t="str">
        <f aca="false">IF(A17="","",B17-E17)</f>
        <v/>
      </c>
      <c r="G17" s="47" t="str">
        <f aca="false">IF(A17="","",IF(B17&gt;'⚙ Settings'!C21,"⚠ Expect 1099","—"))</f>
        <v/>
      </c>
    </row>
    <row r="18" customFormat="false" ht="21.75" hidden="false" customHeight="true" outlineLevel="0" collapsed="false">
      <c r="A18" s="46"/>
      <c r="B18" s="23" t="str">
        <f aca="false">IF(A18="","",SUMIF('💰 Income Log'!B5:B63,A18,'💰 Income Log'!F5:F63))</f>
        <v/>
      </c>
      <c r="C18" s="23" t="str">
        <f aca="false">IF(A18="","",COUNTIF('💰 Income Log'!B5:B63,A18))</f>
        <v/>
      </c>
      <c r="D18" s="23" t="str">
        <f aca="false">IFERROR(B18/C18,"")</f>
        <v/>
      </c>
      <c r="E18" s="23" t="str">
        <f aca="false">IF(A18="","",SUMPRODUCT(('🧾 Invoices'!B5:B53=A18)*('🧾 Invoices'!H5:H53="Paid")*('🧾 Invoices'!F5:F53)))</f>
        <v/>
      </c>
      <c r="F18" s="23" t="str">
        <f aca="false">IF(A18="","",B18-E18)</f>
        <v/>
      </c>
      <c r="G18" s="50" t="str">
        <f aca="false">IF(A18="","",IF(B18&gt;'⚙ Settings'!C21,"⚠ Expect 1099","—"))</f>
        <v/>
      </c>
    </row>
    <row r="19" customFormat="false" ht="21.75" hidden="false" customHeight="true" outlineLevel="0" collapsed="false">
      <c r="A19" s="46"/>
      <c r="B19" s="27" t="str">
        <f aca="false">IF(A19="","",SUMIF('💰 Income Log'!B5:B63,A19,'💰 Income Log'!F5:F63))</f>
        <v/>
      </c>
      <c r="C19" s="27" t="str">
        <f aca="false">IF(A19="","",COUNTIF('💰 Income Log'!B5:B63,A19))</f>
        <v/>
      </c>
      <c r="D19" s="27" t="str">
        <f aca="false">IFERROR(B19/C19,"")</f>
        <v/>
      </c>
      <c r="E19" s="27" t="str">
        <f aca="false">IF(A19="","",SUMPRODUCT(('🧾 Invoices'!B5:B53=A19)*('🧾 Invoices'!H5:H53="Paid")*('🧾 Invoices'!F5:F53)))</f>
        <v/>
      </c>
      <c r="F19" s="27" t="str">
        <f aca="false">IF(A19="","",B19-E19)</f>
        <v/>
      </c>
      <c r="G19" s="47" t="str">
        <f aca="false">IF(A19="","",IF(B19&gt;'⚙ Settings'!C21,"⚠ Expect 1099","—"))</f>
        <v/>
      </c>
    </row>
    <row r="20" customFormat="false" ht="21.75" hidden="false" customHeight="true" outlineLevel="0" collapsed="false">
      <c r="A20" s="46"/>
      <c r="B20" s="23" t="str">
        <f aca="false">IF(A20="","",SUMIF('💰 Income Log'!B5:B63,A20,'💰 Income Log'!F5:F63))</f>
        <v/>
      </c>
      <c r="C20" s="23" t="str">
        <f aca="false">IF(A20="","",COUNTIF('💰 Income Log'!B5:B63,A20))</f>
        <v/>
      </c>
      <c r="D20" s="23" t="str">
        <f aca="false">IFERROR(B20/C20,"")</f>
        <v/>
      </c>
      <c r="E20" s="23" t="str">
        <f aca="false">IF(A20="","",SUMPRODUCT(('🧾 Invoices'!B5:B53=A20)*('🧾 Invoices'!H5:H53="Paid")*('🧾 Invoices'!F5:F53)))</f>
        <v/>
      </c>
      <c r="F20" s="23" t="str">
        <f aca="false">IF(A20="","",B20-E20)</f>
        <v/>
      </c>
      <c r="G20" s="50" t="str">
        <f aca="false">IF(A20="","",IF(B20&gt;'⚙ Settings'!C21,"⚠ Expect 1099","—"))</f>
        <v/>
      </c>
    </row>
  </sheetData>
  <mergeCells count="2">
    <mergeCell ref="A1:G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7A65"/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4" min="3" style="1" width="22"/>
    <col collapsed="false" customWidth="true" hidden="false" outlineLevel="0" max="5" min="5" style="1" width="2"/>
  </cols>
  <sheetData>
    <row r="1" customFormat="false" ht="21.75" hidden="false" customHeight="true" outlineLevel="0" collapsed="false">
      <c r="A1" s="36" t="s">
        <v>293</v>
      </c>
      <c r="B1" s="36"/>
      <c r="C1" s="36"/>
      <c r="D1" s="36"/>
      <c r="E1" s="36"/>
    </row>
    <row r="2" customFormat="false" ht="21.75" hidden="false" customHeight="true" outlineLevel="0" collapsed="false">
      <c r="A2" s="36"/>
      <c r="B2" s="36"/>
      <c r="C2" s="36"/>
      <c r="D2" s="36"/>
      <c r="E2" s="36"/>
    </row>
    <row r="3" customFormat="false" ht="18" hidden="false" customHeight="true" outlineLevel="0" collapsed="false">
      <c r="A3" s="37" t="s">
        <v>294</v>
      </c>
      <c r="B3" s="37"/>
      <c r="C3" s="37"/>
      <c r="D3" s="37"/>
      <c r="E3" s="37"/>
    </row>
    <row r="4" customFormat="false" ht="24" hidden="false" customHeight="true" outlineLevel="0" collapsed="false">
      <c r="B4" s="38" t="s">
        <v>295</v>
      </c>
      <c r="C4" s="38"/>
      <c r="D4" s="38"/>
    </row>
    <row r="5" customFormat="false" ht="24" hidden="false" customHeight="true" outlineLevel="0" collapsed="false">
      <c r="B5" s="84" t="s">
        <v>69</v>
      </c>
      <c r="C5" s="88" t="n">
        <f aca="false">'⚙ Settings'!C19</f>
        <v>72000</v>
      </c>
      <c r="D5" s="92" t="s">
        <v>296</v>
      </c>
    </row>
    <row r="6" customFormat="false" ht="24" hidden="false" customHeight="true" outlineLevel="0" collapsed="false">
      <c r="B6" s="84" t="s">
        <v>297</v>
      </c>
      <c r="C6" s="93" t="n">
        <f aca="false">'⚙ Settings'!C11+'⚙ Settings'!C12+'⚙ Settings'!C13</f>
        <v>0.453</v>
      </c>
      <c r="D6" s="92" t="s">
        <v>298</v>
      </c>
    </row>
    <row r="7" customFormat="false" ht="24" hidden="false" customHeight="true" outlineLevel="0" collapsed="false">
      <c r="B7" s="84" t="s">
        <v>299</v>
      </c>
      <c r="C7" s="80" t="n">
        <f aca="false">C5/(1-C6)</f>
        <v>131627.056672761</v>
      </c>
      <c r="D7" s="92" t="s">
        <v>300</v>
      </c>
    </row>
    <row r="8" customFormat="false" ht="24" hidden="false" customHeight="true" outlineLevel="0" collapsed="false">
      <c r="B8" s="84" t="s">
        <v>301</v>
      </c>
      <c r="C8" s="80" t="n">
        <f aca="false">'💸 Expenses'!F64</f>
        <v>1165.89</v>
      </c>
      <c r="D8" s="92" t="s">
        <v>302</v>
      </c>
    </row>
    <row r="9" customFormat="false" ht="24" hidden="false" customHeight="true" outlineLevel="0" collapsed="false">
      <c r="B9" s="85" t="s">
        <v>303</v>
      </c>
      <c r="C9" s="94" t="n">
        <f aca="false">C7+C8</f>
        <v>132792.946672761</v>
      </c>
      <c r="D9" s="92"/>
    </row>
    <row r="10" customFormat="false" ht="7.5" hidden="false" customHeight="true" outlineLevel="0" collapsed="false"/>
    <row r="11" customFormat="false" ht="24" hidden="false" customHeight="true" outlineLevel="0" collapsed="false">
      <c r="B11" s="38" t="s">
        <v>304</v>
      </c>
      <c r="C11" s="38"/>
      <c r="D11" s="38"/>
    </row>
    <row r="12" customFormat="false" ht="24" hidden="false" customHeight="true" outlineLevel="0" collapsed="false">
      <c r="B12" s="84" t="s">
        <v>305</v>
      </c>
      <c r="C12" s="88" t="n">
        <f aca="false">'⚙ Settings'!C20</f>
        <v>30</v>
      </c>
      <c r="D12" s="92" t="s">
        <v>296</v>
      </c>
    </row>
    <row r="13" customFormat="false" ht="24" hidden="false" customHeight="true" outlineLevel="0" collapsed="false">
      <c r="B13" s="84" t="s">
        <v>306</v>
      </c>
      <c r="C13" s="88" t="n">
        <v>4</v>
      </c>
      <c r="D13" s="92" t="s">
        <v>307</v>
      </c>
    </row>
    <row r="14" customFormat="false" ht="24" hidden="false" customHeight="true" outlineLevel="0" collapsed="false">
      <c r="B14" s="84" t="s">
        <v>308</v>
      </c>
      <c r="C14" s="80" t="n">
        <f aca="false">52-C13</f>
        <v>48</v>
      </c>
      <c r="D14" s="92"/>
    </row>
    <row r="15" customFormat="false" ht="24" hidden="false" customHeight="true" outlineLevel="0" collapsed="false">
      <c r="B15" s="85" t="s">
        <v>309</v>
      </c>
      <c r="C15" s="94" t="n">
        <f aca="false">C12*C14</f>
        <v>1440</v>
      </c>
      <c r="D15" s="92"/>
    </row>
    <row r="16" customFormat="false" ht="7.5" hidden="false" customHeight="true" outlineLevel="0" collapsed="false"/>
    <row r="17" customFormat="false" ht="24" hidden="false" customHeight="true" outlineLevel="0" collapsed="false">
      <c r="B17" s="38" t="s">
        <v>310</v>
      </c>
      <c r="C17" s="38"/>
      <c r="D17" s="38"/>
    </row>
    <row r="18" customFormat="false" ht="24" hidden="false" customHeight="true" outlineLevel="0" collapsed="false">
      <c r="B18" s="84" t="s">
        <v>311</v>
      </c>
      <c r="C18" s="93" t="n">
        <f aca="false">IFERROR(C9/C15,0)</f>
        <v>92.2173240783059</v>
      </c>
      <c r="D18" s="92" t="s">
        <v>312</v>
      </c>
    </row>
    <row r="19" customFormat="false" ht="24" hidden="false" customHeight="true" outlineLevel="0" collapsed="false">
      <c r="B19" s="84" t="s">
        <v>313</v>
      </c>
      <c r="C19" s="80" t="n">
        <f aca="false">C18*1.2</f>
        <v>110.660788893967</v>
      </c>
      <c r="D19" s="92" t="s">
        <v>314</v>
      </c>
    </row>
    <row r="20" customFormat="false" ht="24" hidden="false" customHeight="true" outlineLevel="0" collapsed="false">
      <c r="B20" s="84" t="s">
        <v>315</v>
      </c>
      <c r="C20" s="80" t="n">
        <f aca="false">C18*1.4</f>
        <v>129.104253709628</v>
      </c>
      <c r="D20" s="92" t="s">
        <v>316</v>
      </c>
    </row>
    <row r="21" customFormat="false" ht="7.5" hidden="false" customHeight="true" outlineLevel="0" collapsed="false"/>
    <row r="22" customFormat="false" ht="24" hidden="false" customHeight="true" outlineLevel="0" collapsed="false">
      <c r="B22" s="38" t="s">
        <v>317</v>
      </c>
      <c r="C22" s="38"/>
      <c r="D22" s="38"/>
    </row>
    <row r="23" customFormat="false" ht="24" hidden="false" customHeight="true" outlineLevel="0" collapsed="false">
      <c r="B23" s="84" t="s">
        <v>318</v>
      </c>
      <c r="C23" s="88" t="n">
        <v>40</v>
      </c>
      <c r="D23" s="92" t="s">
        <v>319</v>
      </c>
    </row>
    <row r="24" customFormat="false" ht="24" hidden="false" customHeight="true" outlineLevel="0" collapsed="false">
      <c r="B24" s="84" t="s">
        <v>320</v>
      </c>
      <c r="C24" s="93" t="n">
        <f aca="false">C19</f>
        <v>110.660788893967</v>
      </c>
      <c r="D24" s="92" t="s">
        <v>321</v>
      </c>
    </row>
    <row r="25" customFormat="false" ht="24" hidden="false" customHeight="true" outlineLevel="0" collapsed="false">
      <c r="B25" s="85" t="s">
        <v>322</v>
      </c>
      <c r="C25" s="94" t="n">
        <f aca="false">C23*C24</f>
        <v>4426.43155575868</v>
      </c>
      <c r="D25" s="92"/>
    </row>
  </sheetData>
  <mergeCells count="6">
    <mergeCell ref="A1:E2"/>
    <mergeCell ref="A3:E3"/>
    <mergeCell ref="B4:D4"/>
    <mergeCell ref="B11:D11"/>
    <mergeCell ref="B17:D17"/>
    <mergeCell ref="B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2026-03-28T14:15:37Z</dcterms:created>
  <dc:creator>openpyxl</dc:creator>
  <dc:description/>
  <dc:language>en-US</dc:language>
  <cp:lastModifiedBy/>
  <dcterms:modified xsi:type="dcterms:W3CDTF">2026-03-28T14:17:07Z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